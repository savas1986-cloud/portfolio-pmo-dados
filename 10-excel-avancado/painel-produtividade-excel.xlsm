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624c6578fe2e03c/Desktop/Estudos/Estudo Dados/Claude/Painel de Produtividade/"/>
    </mc:Choice>
  </mc:AlternateContent>
  <xr:revisionPtr revIDLastSave="0" documentId="8_{CFE42C27-7B27-47BF-ADF4-A8300BE0DBF2}" xr6:coauthVersionLast="47" xr6:coauthVersionMax="47" xr10:uidLastSave="{00000000-0000-0000-0000-000000000000}"/>
  <bookViews>
    <workbookView xWindow="-120" yWindow="-120" windowWidth="29040" windowHeight="15720" xr2:uid="{5D16FF9E-9BA8-4548-B7C6-4530790F5C50}"/>
  </bookViews>
  <sheets>
    <sheet name="demandas" sheetId="2" r:id="rId1"/>
    <sheet name="squads" sheetId="4" r:id="rId2"/>
    <sheet name="status" sheetId="5" r:id="rId3"/>
  </sheets>
  <definedNames>
    <definedName name="DadosExternos_1" localSheetId="0" hidden="1">demandas!$A$1:$J$421</definedName>
    <definedName name="DadosExternos_1" localSheetId="1" hidden="1">squads!$A$1:$C$9</definedName>
    <definedName name="DadosExternos_2" localSheetId="2" hidden="1">status!$A$1:$B$6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2" l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0AEA38-6467-4DF7-8867-865F9DC47AFB}" keepAlive="1" name="Consulta - demandas" description="Conexão com a consulta 'demandas' na pasta de trabalho." type="5" refreshedVersion="8" background="1" saveData="1">
    <dbPr connection="Provider=Microsoft.Mashup.OleDb.1;Data Source=$Workbook$;Location=demandas;Extended Properties=&quot;&quot;" command="SELECT * FROM [demandas]"/>
  </connection>
  <connection id="2" xr16:uid="{69775088-B4B2-4830-8FD2-DBAAABC2B3A9}" keepAlive="1" name="Consulta - squads" description="Conexão com a consulta 'squads' na pasta de trabalho." type="5" refreshedVersion="8" background="1" saveData="1">
    <dbPr connection="Provider=Microsoft.Mashup.OleDb.1;Data Source=$Workbook$;Location=squads;Extended Properties=&quot;&quot;" command="SELECT * FROM [squads]"/>
  </connection>
  <connection id="3" xr16:uid="{56EF13B0-906E-4BB8-A4D0-38DB893DE8EA}" keepAlive="1" name="Consulta - status" description="Conexão com a consulta 'status' na pasta de trabalho." type="5" refreshedVersion="8" background="1" saveData="1">
    <dbPr connection="Provider=Microsoft.Mashup.OleDb.1;Data Source=$Workbook$;Location=status;Extended Properties=&quot;&quot;" command="SELECT * FROM [status]"/>
  </connection>
</connections>
</file>

<file path=xl/sharedStrings.xml><?xml version="1.0" encoding="utf-8"?>
<sst xmlns="http://schemas.openxmlformats.org/spreadsheetml/2006/main" count="458" uniqueCount="450">
  <si>
    <t>DemandaID</t>
  </si>
  <si>
    <t>Titulo</t>
  </si>
  <si>
    <t>SquadID</t>
  </si>
  <si>
    <t>StatusID</t>
  </si>
  <si>
    <t>PrioridadeID</t>
  </si>
  <si>
    <t>CategoriaID</t>
  </si>
  <si>
    <t>ResponsavelID</t>
  </si>
  <si>
    <t>DataAbertura</t>
  </si>
  <si>
    <t>DataPrazo</t>
  </si>
  <si>
    <t>DataFechamento</t>
  </si>
  <si>
    <t>Catálogo de dados do domínio #0001</t>
  </si>
  <si>
    <t>Validação de documentos KYC #0002</t>
  </si>
  <si>
    <t>Auditoria de logs de segurança #0003</t>
  </si>
  <si>
    <t>Integração de API de Pagamentos #0004</t>
  </si>
  <si>
    <t>Dashboard de KPIs executivos #0005</t>
  </si>
  <si>
    <t>Atualização de middleware #0006</t>
  </si>
  <si>
    <t>Redução de abandono no cadastro #0007</t>
  </si>
  <si>
    <t>Integração com bureau de crédito #0008</t>
  </si>
  <si>
    <t>Integração com bureau de crédito #0009</t>
  </si>
  <si>
    <t>Implementar novo gateway #0010</t>
  </si>
  <si>
    <t>Validação de documentos KYC #0011</t>
  </si>
  <si>
    <t>Catálogo de dados do domínio #0012</t>
  </si>
  <si>
    <t>Pesquisa de satisfação NPS #0013</t>
  </si>
  <si>
    <t>Implementação de Pix agendado #0014</t>
  </si>
  <si>
    <t>Automação de relatório executivo #0015</t>
  </si>
  <si>
    <t>Migração de SOAP para REST #0016</t>
  </si>
  <si>
    <t>Migração de SOAP para REST #0017</t>
  </si>
  <si>
    <t>Monitoramento de integrações #0018</t>
  </si>
  <si>
    <t>Otimização de conciliação bancária #0019</t>
  </si>
  <si>
    <t>Dashboard de KPIs executivos #0020</t>
  </si>
  <si>
    <t>Integração com sistema legado #0021</t>
  </si>
  <si>
    <t>Monitoramento de SLA por squad #0022</t>
  </si>
  <si>
    <t>Jornada de cadastro digital #0023</t>
  </si>
  <si>
    <t>Revisão de política de senhas #0024</t>
  </si>
  <si>
    <t>Relatório de concessões mensais #0025</t>
  </si>
  <si>
    <t>API Gateway para parceiros #0026</t>
  </si>
  <si>
    <t>Monitoramento de infraestrutura #0027</t>
  </si>
  <si>
    <t>Pipeline de dados de transações #0028</t>
  </si>
  <si>
    <t>Governança de dados mestres #0029</t>
  </si>
  <si>
    <t>Análise de score de crédito #0030</t>
  </si>
  <si>
    <t>Integração de API de Pagamentos #0031</t>
  </si>
  <si>
    <t>Melhoria de acessibilidade #0032</t>
  </si>
  <si>
    <t>Modelagem de risco de crédito #0033</t>
  </si>
  <si>
    <t>Automação de relatório executivo #0034</t>
  </si>
  <si>
    <t>Otimização de conciliação bancária #0035</t>
  </si>
  <si>
    <t>Otimização de performance UX #0036</t>
  </si>
  <si>
    <t>Melhoria no fluxo de boas-vindas #0037</t>
  </si>
  <si>
    <t>Pesquisa de satisfação NPS #0038</t>
  </si>
  <si>
    <t>Implementação de Pix agendado #0039</t>
  </si>
  <si>
    <t>Integração de API de Pagamentos #0040</t>
  </si>
  <si>
    <t>Governança de dados mestres #0041</t>
  </si>
  <si>
    <t>Monitoramento de infraestrutura #0042</t>
  </si>
  <si>
    <t>Validação de documentos KYC #0043</t>
  </si>
  <si>
    <t>Revisão de limites automáticos #0044</t>
  </si>
  <si>
    <t>Governança de dados mestres #0045</t>
  </si>
  <si>
    <t>Jornada de cadastro digital #0046</t>
  </si>
  <si>
    <t>Integração com bureau de crédito #0047</t>
  </si>
  <si>
    <t>Integração com sistema legado #0048</t>
  </si>
  <si>
    <t>Melhoria de acessibilidade #0049</t>
  </si>
  <si>
    <t>Atualização de servidores #0050</t>
  </si>
  <si>
    <t>Implementar novo gateway #0051</t>
  </si>
  <si>
    <t>Correção de divergência em pagamentos #0052</t>
  </si>
  <si>
    <t>Renovação de licenças #0053</t>
  </si>
  <si>
    <t>Design system atualizado #0054</t>
  </si>
  <si>
    <t>Modelagem de risco de crédito #0055</t>
  </si>
  <si>
    <t>Relatório de concessões mensais #0056</t>
  </si>
  <si>
    <t>Redução de fricção no checkout #0057</t>
  </si>
  <si>
    <t>Redução de abandono no cadastro #0058</t>
  </si>
  <si>
    <t>Melhoria no fluxo de boas-vindas #0059</t>
  </si>
  <si>
    <t>Implementação de data quality #0060</t>
  </si>
  <si>
    <t>Formulário adaptativo de abertura de conta #0061</t>
  </si>
  <si>
    <t>Automação de relatório executivo #0062</t>
  </si>
  <si>
    <t>Atualização do fluxo de liquidação #0063</t>
  </si>
  <si>
    <t>Monitoramento de SLA por squad #0064</t>
  </si>
  <si>
    <t>Redução de fricção no checkout #0065</t>
  </si>
  <si>
    <t>Dashboard de inadimplência #0066</t>
  </si>
  <si>
    <t>Monitoramento de SLA por squad #0067</t>
  </si>
  <si>
    <t>Correção de divergência em pagamentos #0068</t>
  </si>
  <si>
    <t>Redução de abandono no cadastro #0069</t>
  </si>
  <si>
    <t>Formulário adaptativo de abertura de conta #0070</t>
  </si>
  <si>
    <t>Design system atualizado #0071</t>
  </si>
  <si>
    <t>Plano de resposta a incidentes #0072</t>
  </si>
  <si>
    <t>Dashboard de KPIs executivos #0073</t>
  </si>
  <si>
    <t>Implementação de Pix agendado #0074</t>
  </si>
  <si>
    <t>Dashboard de KPIs executivos #0075</t>
  </si>
  <si>
    <t>Análise de score de crédito #0076</t>
  </si>
  <si>
    <t>Implementação de data quality #0077</t>
  </si>
  <si>
    <t>Revisão de acessos privilegiados #0078</t>
  </si>
  <si>
    <t>Implementar novo gateway #0079</t>
  </si>
  <si>
    <t>Atualização de política de concessão #0080</t>
  </si>
  <si>
    <t>Atualização de política de concessão #0081</t>
  </si>
  <si>
    <t>Relatório de concessões mensais #0082</t>
  </si>
  <si>
    <t>Redução de fricção no checkout #0083</t>
  </si>
  <si>
    <t>Revisão de limites automáticos #0084</t>
  </si>
  <si>
    <t>Monitoramento de SLA por squad #0085</t>
  </si>
  <si>
    <t>Design system atualizado #0086</t>
  </si>
  <si>
    <t>Plano de resposta a incidentes #0087</t>
  </si>
  <si>
    <t>Integração de API de Pagamentos #0088</t>
  </si>
  <si>
    <t>Melhoria no fluxo de boas-vindas #0089</t>
  </si>
  <si>
    <t>Revisão de acessos privilegiados #0090</t>
  </si>
  <si>
    <t>A/B test de interface #0091</t>
  </si>
  <si>
    <t>Melhoria no fluxo de boas-vindas #0092</t>
  </si>
  <si>
    <t>Migração de SOAP para REST #0093</t>
  </si>
  <si>
    <t>Versionamento de contratos de API #0094</t>
  </si>
  <si>
    <t>Catálogo de dados do domínio #0095</t>
  </si>
  <si>
    <t>Atualização de middleware #0096</t>
  </si>
  <si>
    <t>Atualização de middleware #0097</t>
  </si>
  <si>
    <t>Melhoria de acessibilidade #0098</t>
  </si>
  <si>
    <t>Implementação de Pix agendado #0099</t>
  </si>
  <si>
    <t>Dashboard de KPIs executivos #0100</t>
  </si>
  <si>
    <t>Integração com sistema legado #0101</t>
  </si>
  <si>
    <t>Validação de documentos KYC #0102</t>
  </si>
  <si>
    <t>Atualização do fluxo de liquidação #0103</t>
  </si>
  <si>
    <t>Modelagem de risco de crédito #0104</t>
  </si>
  <si>
    <t>Dashboard de KPIs executivos #0105</t>
  </si>
  <si>
    <t>Configuração de DR #0106</t>
  </si>
  <si>
    <t>Atualização do fluxo de liquidação #0107</t>
  </si>
  <si>
    <t>Monitoramento de SLA por squad #0108</t>
  </si>
  <si>
    <t>Correção de divergência em pagamentos #0109</t>
  </si>
  <si>
    <t>Versionamento de contratos de API #0110</t>
  </si>
  <si>
    <t>Modelagem de risco de crédito #0111</t>
  </si>
  <si>
    <t>Pipeline de dados de transações #0112</t>
  </si>
  <si>
    <t>Revisão de acessos privilegiados #0113</t>
  </si>
  <si>
    <t>Plano de resposta a incidentes #0114</t>
  </si>
  <si>
    <t>Melhoria no fluxo de boas-vindas #0115</t>
  </si>
  <si>
    <t>Otimização de conciliação bancária #0116</t>
  </si>
  <si>
    <t>Implementação de Pix agendado #0117</t>
  </si>
  <si>
    <t>Redução de abandono no cadastro #0118</t>
  </si>
  <si>
    <t>Atualização do fluxo de liquidação #0119</t>
  </si>
  <si>
    <t>Integração de API de Pagamentos #0120</t>
  </si>
  <si>
    <t>Relatório de concessões mensais #0121</t>
  </si>
  <si>
    <t>Implementar novo gateway #0122</t>
  </si>
  <si>
    <t>Dashboard de KPIs executivos #0123</t>
  </si>
  <si>
    <t>Implementação de IaC #0124</t>
  </si>
  <si>
    <t>Otimização do onboarding mobile #0125</t>
  </si>
  <si>
    <t>Pipeline de dados de transações #0126</t>
  </si>
  <si>
    <t>Redução de fricção no checkout #0127</t>
  </si>
  <si>
    <t>Implementação de MFA #0128</t>
  </si>
  <si>
    <t>Revisão de regras de aprovação #0129</t>
  </si>
  <si>
    <t>Jornada de cadastro digital #0130</t>
  </si>
  <si>
    <t>Governança de dados mestres #0131</t>
  </si>
  <si>
    <t>Governança de dados mestres #0132</t>
  </si>
  <si>
    <t>Documentação de APIs internas #0133</t>
  </si>
  <si>
    <t>Monitoramento de SLA por squad #0134</t>
  </si>
  <si>
    <t>Otimização do onboarding mobile #0135</t>
  </si>
  <si>
    <t>Implementação de MFA #0136</t>
  </si>
  <si>
    <t>Análise de score de crédito #0137</t>
  </si>
  <si>
    <t>Integração com bureau de crédito #0138</t>
  </si>
  <si>
    <t>Versionamento de contratos de API #0139</t>
  </si>
  <si>
    <t>Atualização de middleware #0140</t>
  </si>
  <si>
    <t>Implementação de Pix agendado #0141</t>
  </si>
  <si>
    <t>Integração de API de Pagamentos #0142</t>
  </si>
  <si>
    <t>Dashboard de KPIs executivos #0143</t>
  </si>
  <si>
    <t>Monitoramento de SLA por squad #0144</t>
  </si>
  <si>
    <t>Design system atualizado #0145</t>
  </si>
  <si>
    <t>Relatório de concessões mensais #0146</t>
  </si>
  <si>
    <t>Dashboard de inadimplência #0147</t>
  </si>
  <si>
    <t>Monitoramento de infraestrutura #0148</t>
  </si>
  <si>
    <t>Otimização de conciliação bancária #0149</t>
  </si>
  <si>
    <t>Atualização de certificados SSL #0150</t>
  </si>
  <si>
    <t>Otimização do onboarding mobile #0151</t>
  </si>
  <si>
    <t>Modelagem de risco de crédito #0152</t>
  </si>
  <si>
    <t>Revisão de regras de aprovação #0153</t>
  </si>
  <si>
    <t>Validação de documentos KYC #0154</t>
  </si>
  <si>
    <t>Otimização de custos de cloud #0155</t>
  </si>
  <si>
    <t>Versionamento de contratos de API #0156</t>
  </si>
  <si>
    <t>Monitoramento de integrações #0157</t>
  </si>
  <si>
    <t>Automação de relatório executivo #0158</t>
  </si>
  <si>
    <t>Atualização de política de concessão #0159</t>
  </si>
  <si>
    <t>A/B test de interface #0160</t>
  </si>
  <si>
    <t>Melhoria de acessibilidade #0161</t>
  </si>
  <si>
    <t>Melhoria de acessibilidade #0162</t>
  </si>
  <si>
    <t>Redução de abandono no cadastro #0163</t>
  </si>
  <si>
    <t>API Gateway para parceiros #0164</t>
  </si>
  <si>
    <t>Redesign do app mobile #0165</t>
  </si>
  <si>
    <t>Dashboard de inadimplência #0166</t>
  </si>
  <si>
    <t>Análise de score de crédito #0167</t>
  </si>
  <si>
    <t>Implementação de data quality #0168</t>
  </si>
  <si>
    <t>Otimização de conciliação bancária #0169</t>
  </si>
  <si>
    <t>Implementação de Pix agendado #0170</t>
  </si>
  <si>
    <t>Versionamento de contratos de API #0171</t>
  </si>
  <si>
    <t>Configuração de DR #0172</t>
  </si>
  <si>
    <t>Correção de divergência em pagamentos #0173</t>
  </si>
  <si>
    <t>Otimização do onboarding mobile #0174</t>
  </si>
  <si>
    <t>Atualização de middleware #0175</t>
  </si>
  <si>
    <t>Revisão de limites automáticos #0176</t>
  </si>
  <si>
    <t>Dashboard de KPIs executivos #0177</t>
  </si>
  <si>
    <t>Implementação de IaC #0178</t>
  </si>
  <si>
    <t>Pipeline de dados de transações #0179</t>
  </si>
  <si>
    <t>Implementação de data quality #0180</t>
  </si>
  <si>
    <t>Implementação de data quality #0181</t>
  </si>
  <si>
    <t>Modelagem de risco de crédito #0182</t>
  </si>
  <si>
    <t>Validação de documentos KYC #0183</t>
  </si>
  <si>
    <t>Integração com sistema legado #0184</t>
  </si>
  <si>
    <t>Otimização de conciliação bancária #0185</t>
  </si>
  <si>
    <t>Implementação de Pix agendado #0186</t>
  </si>
  <si>
    <t>Implementação de Pix agendado #0187</t>
  </si>
  <si>
    <t>Atualização do fluxo de liquidação #0188</t>
  </si>
  <si>
    <t>Monitoramento de SLA por squad #0189</t>
  </si>
  <si>
    <t>Documentação de APIs internas #0190</t>
  </si>
  <si>
    <t>Monitoramento de infraestrutura #0191</t>
  </si>
  <si>
    <t>Validação de documentos KYC #0192</t>
  </si>
  <si>
    <t>API Gateway para parceiros #0193</t>
  </si>
  <si>
    <t>Correção de divergência em pagamentos #0194</t>
  </si>
  <si>
    <t>Redesign do app mobile #0195</t>
  </si>
  <si>
    <t>Monitoramento de infraestrutura #0196</t>
  </si>
  <si>
    <t>Governança de dados mestres #0197</t>
  </si>
  <si>
    <t>Monitoramento de integrações #0198</t>
  </si>
  <si>
    <t>Migração de SOAP para REST #0199</t>
  </si>
  <si>
    <t>Atualização de servidores #0200</t>
  </si>
  <si>
    <t>Migração de SOAP para REST #0201</t>
  </si>
  <si>
    <t>Otimização do onboarding mobile #0202</t>
  </si>
  <si>
    <t>Melhoria no fluxo de boas-vindas #0203</t>
  </si>
  <si>
    <t>Monitoramento de SLA por squad #0204</t>
  </si>
  <si>
    <t>Implementar novo gateway #0205</t>
  </si>
  <si>
    <t>Design system atualizado #0206</t>
  </si>
  <si>
    <t>Plano de resposta a incidentes #0207</t>
  </si>
  <si>
    <t>Versionamento de contratos de API #0208</t>
  </si>
  <si>
    <t>Revisão de limites automáticos #0209</t>
  </si>
  <si>
    <t>Revisão de limites automáticos #0210</t>
  </si>
  <si>
    <t>Redesign do app mobile #0211</t>
  </si>
  <si>
    <t>Implementação de data quality #0212</t>
  </si>
  <si>
    <t>Redução de abandono no cadastro #0213</t>
  </si>
  <si>
    <t>Implementação de MFA #0214</t>
  </si>
  <si>
    <t>Dashboard de KPIs executivos #0215</t>
  </si>
  <si>
    <t>Redesign do app mobile #0216</t>
  </si>
  <si>
    <t>Atualização de política de concessão #0217</t>
  </si>
  <si>
    <t>Redesign do app mobile #0218</t>
  </si>
  <si>
    <t>Monitoramento de integrações #0219</t>
  </si>
  <si>
    <t>Governança de dados mestres #0220</t>
  </si>
  <si>
    <t>Análise de score de crédito #0221</t>
  </si>
  <si>
    <t>Análise de vulnerabilidades #0222</t>
  </si>
  <si>
    <t>Dashboard de inadimplência #0223</t>
  </si>
  <si>
    <t>Integração com sistema legado #0224</t>
  </si>
  <si>
    <t>Design system atualizado #0225</t>
  </si>
  <si>
    <t>Dashboard de inadimplência #0226</t>
  </si>
  <si>
    <t>Revisão de regras de aprovação #0227</t>
  </si>
  <si>
    <t>Implementar novo gateway #0228</t>
  </si>
  <si>
    <t>Implementar novo gateway #0229</t>
  </si>
  <si>
    <t>Atualização do fluxo de liquidação #0230</t>
  </si>
  <si>
    <t>Monitoramento de integrações #0231</t>
  </si>
  <si>
    <t>Design system atualizado #0232</t>
  </si>
  <si>
    <t>Melhoria no fluxo de boas-vindas #0233</t>
  </si>
  <si>
    <t>Implementação de Pix agendado #0234</t>
  </si>
  <si>
    <t>Otimização de performance UX #0235</t>
  </si>
  <si>
    <t>Modelagem de risco de crédito #0236</t>
  </si>
  <si>
    <t>Implementação de data quality #0237</t>
  </si>
  <si>
    <t>Implementar novo gateway #0238</t>
  </si>
  <si>
    <t>Implementação de IaC #0239</t>
  </si>
  <si>
    <t>Validação de documentos KYC #0240</t>
  </si>
  <si>
    <t>Atualização de middleware #0241</t>
  </si>
  <si>
    <t>Modelagem de risco de crédito #0242</t>
  </si>
  <si>
    <t>Governança de dados mestres #0243</t>
  </si>
  <si>
    <t>Revisão de limites automáticos #0244</t>
  </si>
  <si>
    <t>Formulário adaptativo de abertura de conta #0245</t>
  </si>
  <si>
    <t>Otimização do onboarding mobile #0246</t>
  </si>
  <si>
    <t>Versionamento de contratos de API #0247</t>
  </si>
  <si>
    <t>Jornada de cadastro digital #0248</t>
  </si>
  <si>
    <t>Melhoria no fluxo de boas-vindas #0249</t>
  </si>
  <si>
    <t>Catálogo de dados do domínio #0250</t>
  </si>
  <si>
    <t>Validação de documentos KYC #0251</t>
  </si>
  <si>
    <t>Implementar novo gateway #0252</t>
  </si>
  <si>
    <t>Atualização de certificados SSL #0253</t>
  </si>
  <si>
    <t>Melhoria no fluxo de boas-vindas #0254</t>
  </si>
  <si>
    <t>Renovação de licenças #0255</t>
  </si>
  <si>
    <t>Melhoria de acessibilidade #0256</t>
  </si>
  <si>
    <t>Monitoramento de SLA por squad #0257</t>
  </si>
  <si>
    <t>Pesquisa de satisfação NPS #0258</t>
  </si>
  <si>
    <t>Revisão de limites automáticos #0259</t>
  </si>
  <si>
    <t>Integração com sistema legado #0260</t>
  </si>
  <si>
    <t>API Gateway para parceiros #0261</t>
  </si>
  <si>
    <t>Integração com sistema legado #0262</t>
  </si>
  <si>
    <t>Revisão de regras de aprovação #0263</t>
  </si>
  <si>
    <t>Revisão de regras de aprovação #0264</t>
  </si>
  <si>
    <t>Otimização de performance UX #0265</t>
  </si>
  <si>
    <t>Atualização de política de concessão #0266</t>
  </si>
  <si>
    <t>Versionamento de contratos de API #0267</t>
  </si>
  <si>
    <t>Dashboard de KPIs executivos #0268</t>
  </si>
  <si>
    <t>Atualização de certificados SSL #0269</t>
  </si>
  <si>
    <t>Modelagem de risco de crédito #0270</t>
  </si>
  <si>
    <t>Revisão de limites automáticos #0271</t>
  </si>
  <si>
    <t>Dashboard de inadimplência #0272</t>
  </si>
  <si>
    <t>Monitoramento de SLA por squad #0273</t>
  </si>
  <si>
    <t>Redução de fricção no checkout #0274</t>
  </si>
  <si>
    <t>Formulário adaptativo de abertura de conta #0275</t>
  </si>
  <si>
    <t>Pipeline de dados de transações #0276</t>
  </si>
  <si>
    <t>Análise de vulnerabilidades #0277</t>
  </si>
  <si>
    <t>Implementação de MFA #0278</t>
  </si>
  <si>
    <t>Documentação de APIs internas #0279</t>
  </si>
  <si>
    <t>Atualização de política de concessão #0280</t>
  </si>
  <si>
    <t>Dashboard de KPIs executivos #0281</t>
  </si>
  <si>
    <t>Revisão de limites automáticos #0282</t>
  </si>
  <si>
    <t>Catálogo de dados do domínio #0283</t>
  </si>
  <si>
    <t>Atualização do fluxo de liquidação #0284</t>
  </si>
  <si>
    <t>Formulário adaptativo de abertura de conta #0285</t>
  </si>
  <si>
    <t>Otimização de performance UX #0286</t>
  </si>
  <si>
    <t>Pesquisa de satisfação NPS #0287</t>
  </si>
  <si>
    <t>Migração para cloud #0288</t>
  </si>
  <si>
    <t>Catálogo de dados do domínio #0289</t>
  </si>
  <si>
    <t>Migração de SOAP para REST #0290</t>
  </si>
  <si>
    <t>Redução de fricção no checkout #0291</t>
  </si>
  <si>
    <t>Automação de relatório executivo #0292</t>
  </si>
  <si>
    <t>Revisão de regras de aprovação #0293</t>
  </si>
  <si>
    <t>Governança de dados mestres #0294</t>
  </si>
  <si>
    <t>Migração para cloud #0295</t>
  </si>
  <si>
    <t>Implementação de IaC #0296</t>
  </si>
  <si>
    <t>Implementação de data quality #0297</t>
  </si>
  <si>
    <t>Pipeline de dados de transações #0298</t>
  </si>
  <si>
    <t>Redução de fricção no checkout #0299</t>
  </si>
  <si>
    <t>Análise de score de crédito #0300</t>
  </si>
  <si>
    <t>Atualização do fluxo de liquidação #0301</t>
  </si>
  <si>
    <t>Configuração de DR #0302</t>
  </si>
  <si>
    <t>Atualização de política de concessão #0303</t>
  </si>
  <si>
    <t>Validação de documentos KYC #0304</t>
  </si>
  <si>
    <t>Implementação de data quality #0305</t>
  </si>
  <si>
    <t>Atualização do fluxo de liquidação #0306</t>
  </si>
  <si>
    <t>Monitoramento de SLA por squad #0307</t>
  </si>
  <si>
    <t>Integração de API de Pagamentos #0308</t>
  </si>
  <si>
    <t>Catálogo de dados do domínio #0309</t>
  </si>
  <si>
    <t>Monitoramento de SLA por squad #0310</t>
  </si>
  <si>
    <t>Redução de abandono no cadastro #0311</t>
  </si>
  <si>
    <t>Automação de relatório executivo #0312</t>
  </si>
  <si>
    <t>Redesign do app mobile #0313</t>
  </si>
  <si>
    <t>Revisão de regras de aprovação #0314</t>
  </si>
  <si>
    <t>Integração com sistema legado #0315</t>
  </si>
  <si>
    <t>Monitoramento de SLA por squad #0316</t>
  </si>
  <si>
    <t>Implementação de data quality #0317</t>
  </si>
  <si>
    <t>Atualização do fluxo de liquidação #0318</t>
  </si>
  <si>
    <t>API Gateway para parceiros #0319</t>
  </si>
  <si>
    <t>Atualização de middleware #0320</t>
  </si>
  <si>
    <t>Versionamento de contratos de API #0321</t>
  </si>
  <si>
    <t>Dashboard de KPIs executivos #0322</t>
  </si>
  <si>
    <t>Correção de divergência em pagamentos #0323</t>
  </si>
  <si>
    <t>Integração com bureau de crédito #0324</t>
  </si>
  <si>
    <t>Correção de divergência em pagamentos #0325</t>
  </si>
  <si>
    <t>Catálogo de dados do domínio #0326</t>
  </si>
  <si>
    <t>Atualização de middleware #0327</t>
  </si>
  <si>
    <t>Implementar novo gateway #0328</t>
  </si>
  <si>
    <t>Implementação de IaC #0329</t>
  </si>
  <si>
    <t>Pipeline de dados de transações #0330</t>
  </si>
  <si>
    <t>Implementação de data quality #0331</t>
  </si>
  <si>
    <t>Integração com sistema legado #0332</t>
  </si>
  <si>
    <t>Implementar novo gateway #0333</t>
  </si>
  <si>
    <t>Análise de score de crédito #0334</t>
  </si>
  <si>
    <t>Versionamento de contratos de API #0335</t>
  </si>
  <si>
    <t>Implementação de MFA #0336</t>
  </si>
  <si>
    <t>Redesign do app mobile #0337</t>
  </si>
  <si>
    <t>Implementação de Pix agendado #0338</t>
  </si>
  <si>
    <t>Monitoramento de integrações #0339</t>
  </si>
  <si>
    <t>Catálogo de dados do domínio #0340</t>
  </si>
  <si>
    <t>Implementação de data quality #0341</t>
  </si>
  <si>
    <t>Implementar novo gateway #0342</t>
  </si>
  <si>
    <t>Dashboard de KPIs executivos #0343</t>
  </si>
  <si>
    <t>Atualização do fluxo de liquidação #0344</t>
  </si>
  <si>
    <t>Atualização de política de concessão #0345</t>
  </si>
  <si>
    <t>Revisão de regras de aprovação #0346</t>
  </si>
  <si>
    <t>Otimização de custos de cloud #0347</t>
  </si>
  <si>
    <t>Análise de score de crédito #0348</t>
  </si>
  <si>
    <t>Revisão de regras de aprovação #0349</t>
  </si>
  <si>
    <t>Otimização de conciliação bancária #0350</t>
  </si>
  <si>
    <t>Melhoria de acessibilidade #0351</t>
  </si>
  <si>
    <t>API Gateway para parceiros #0352</t>
  </si>
  <si>
    <t>Pipeline de dados de transações #0353</t>
  </si>
  <si>
    <t>Melhoria de acessibilidade #0354</t>
  </si>
  <si>
    <t>Monitoramento de integrações #0355</t>
  </si>
  <si>
    <t>Implementação de MFA #0356</t>
  </si>
  <si>
    <t>Documentação de APIs internas #0357</t>
  </si>
  <si>
    <t>Implementar novo gateway #0358</t>
  </si>
  <si>
    <t>Integração de API de Pagamentos #0359</t>
  </si>
  <si>
    <t>Validação de documentos KYC #0360</t>
  </si>
  <si>
    <t>Implementar novo gateway #0361</t>
  </si>
  <si>
    <t>Atualização de certificados SSL #0362</t>
  </si>
  <si>
    <t>Otimização de conciliação bancária #0363</t>
  </si>
  <si>
    <t>Melhoria no fluxo de boas-vindas #0364</t>
  </si>
  <si>
    <t>Automação de relatório executivo #0365</t>
  </si>
  <si>
    <t>API Gateway para parceiros #0366</t>
  </si>
  <si>
    <t>Atualização de middleware #0367</t>
  </si>
  <si>
    <t>Redução de abandono no cadastro #0368</t>
  </si>
  <si>
    <t>Redesign do app mobile #0369</t>
  </si>
  <si>
    <t>Catálogo de dados do domínio #0370</t>
  </si>
  <si>
    <t>Revisão de acessos privilegiados #0371</t>
  </si>
  <si>
    <t>Implementação de Pix agendado #0372</t>
  </si>
  <si>
    <t>Auditoria de logs de segurança #0373</t>
  </si>
  <si>
    <t>Atualização de middleware #0374</t>
  </si>
  <si>
    <t>Redução de fricção no checkout #0375</t>
  </si>
  <si>
    <t>Pipeline de dados de transações #0376</t>
  </si>
  <si>
    <t>Redesign do app mobile #0377</t>
  </si>
  <si>
    <t>Automação de relatório executivo #0378</t>
  </si>
  <si>
    <t>Redução de fricção no checkout #0379</t>
  </si>
  <si>
    <t>Automação de relatório executivo #0380</t>
  </si>
  <si>
    <t>Documentação de APIs internas #0381</t>
  </si>
  <si>
    <t>Otimização de custos de cloud #0382</t>
  </si>
  <si>
    <t>Otimização de performance UX #0383</t>
  </si>
  <si>
    <t>Implementação de IaC #0384</t>
  </si>
  <si>
    <t>Integração com bureau de crédito #0385</t>
  </si>
  <si>
    <t>Otimização de custos de cloud #0386</t>
  </si>
  <si>
    <t>Catálogo de dados do domínio #0387</t>
  </si>
  <si>
    <t>Otimização de conciliação bancária #0388</t>
  </si>
  <si>
    <t>Redução de fricção no checkout #0389</t>
  </si>
  <si>
    <t>Implementação de data quality #0390</t>
  </si>
  <si>
    <t>Implementação de data quality #0391</t>
  </si>
  <si>
    <t>Integração de API de Pagamentos #0392</t>
  </si>
  <si>
    <t>Análise de vulnerabilidades #0393</t>
  </si>
  <si>
    <t>Validação de documentos KYC #0394</t>
  </si>
  <si>
    <t>API Gateway para parceiros #0395</t>
  </si>
  <si>
    <t>Versionamento de contratos de API #0396</t>
  </si>
  <si>
    <t>Atualização do fluxo de liquidação #0397</t>
  </si>
  <si>
    <t>Validação de documentos KYC #0398</t>
  </si>
  <si>
    <t>Documentação de APIs internas #0399</t>
  </si>
  <si>
    <t>Pipeline de dados de transações #0400</t>
  </si>
  <si>
    <t>Documentação de APIs internas #0401</t>
  </si>
  <si>
    <t>Otimização de conciliação bancária #0402</t>
  </si>
  <si>
    <t>Governança de dados mestres #0403</t>
  </si>
  <si>
    <t>Integração com sistema legado #0404</t>
  </si>
  <si>
    <t>Design system atualizado #0405</t>
  </si>
  <si>
    <t>Revisão de limites automáticos #0406</t>
  </si>
  <si>
    <t>Validação de documentos KYC #0407</t>
  </si>
  <si>
    <t>Implementação de data quality #0408</t>
  </si>
  <si>
    <t>Validação de documentos KYC #0409</t>
  </si>
  <si>
    <t>Monitoramento de integrações #0410</t>
  </si>
  <si>
    <t>Versionamento de contratos de API #0411</t>
  </si>
  <si>
    <t>Integração com sistema legado #0412</t>
  </si>
  <si>
    <t>Integração com sistema legado #0413</t>
  </si>
  <si>
    <t>Jornada de cadastro digital #0414</t>
  </si>
  <si>
    <t>Implementar novo gateway #0415</t>
  </si>
  <si>
    <t>Redução de abandono no cadastro #0416</t>
  </si>
  <si>
    <t>Integração com sistema legado #0417</t>
  </si>
  <si>
    <t>Otimização do onboarding mobile #0418</t>
  </si>
  <si>
    <t>Redesign do app mobile #0419</t>
  </si>
  <si>
    <t>Validação de documentos KYC #0420</t>
  </si>
  <si>
    <t>SquadNome</t>
  </si>
  <si>
    <t>Area</t>
  </si>
  <si>
    <t>Squad Pagamentos</t>
  </si>
  <si>
    <t>Produtos Financeiros</t>
  </si>
  <si>
    <t>Squad Crédito</t>
  </si>
  <si>
    <t>Squad Onboarding</t>
  </si>
  <si>
    <t>Experiência do Cliente</t>
  </si>
  <si>
    <t>Squad Segurança</t>
  </si>
  <si>
    <t>Tecnologia e Infraestrutura</t>
  </si>
  <si>
    <t>Squad Dados</t>
  </si>
  <si>
    <t>Data &amp; Analytics</t>
  </si>
  <si>
    <t>Squad Integrações</t>
  </si>
  <si>
    <t>Squad Experiência</t>
  </si>
  <si>
    <t>Squad Infraestrutura</t>
  </si>
  <si>
    <t>StatusNome</t>
  </si>
  <si>
    <t>Aberto</t>
  </si>
  <si>
    <t>Em Andamento</t>
  </si>
  <si>
    <t>Concluído</t>
  </si>
  <si>
    <t>Bloqueado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</si>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</sst>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3A8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ont="1"/>
    <xf numFmtId="0" fontId="0" fillId="2" borderId="0" xfId="0" applyFont="1" applyFill="1"/>
    <xf numFmtId="0" fontId="0" fillId="0" borderId="0" xfId="0" applyNumberFormat="1" applyFont="1"/>
    <xf numFmtId="14" fontId="0" fillId="0" borderId="0" xfId="0" applyNumberFormat="1" applyFont="1"/>
    <xf numFmtId="0" fontId="0" fillId="2" borderId="0" xfId="0" applyFill="1"/>
  </cellXfs>
  <cellStyles count="1">
    <cellStyle name="Normal" xfId="0" builtinId="0"/>
  </cellStyles>
  <dxfs count="10">
    <dxf>
      <fill>
        <patternFill patternType="solid">
          <fgColor indexed="64"/>
          <bgColor rgb="FF1E3A8A"/>
        </patternFill>
      </fill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</dxfs>
  <tableStyles count="0" defaultTableStyle="TableStyleMedium2" defaultPivotStyle="PivotStyleLight16"/>
  <colors>
    <mruColors>
      <color rgb="FF1E3A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9674CE7-CD71-4C46-BC4F-A22EF3684552}" autoFormatId="16" applyNumberFormats="0" applyBorderFormats="0" applyFontFormats="0" applyPatternFormats="0" applyAlignmentFormats="0" applyWidthHeightFormats="0">
  <queryTableRefresh nextId="13" unboundColumnsRight="2">
    <queryTableFields count="12">
      <queryTableField id="1" name="DemandaID" tableColumnId="1"/>
      <queryTableField id="2" name="Titulo" tableColumnId="2"/>
      <queryTableField id="3" name="SquadID" tableColumnId="3"/>
      <queryTableField id="4" name="StatusID" tableColumnId="4"/>
      <queryTableField id="5" name="PrioridadeID" tableColumnId="5"/>
      <queryTableField id="6" name="CategoriaID" tableColumnId="6"/>
      <queryTableField id="7" name="ResponsavelID" tableColumnId="7"/>
      <queryTableField id="8" name="DataAbertura" tableColumnId="8"/>
      <queryTableField id="9" name="DataPrazo" tableColumnId="9"/>
      <queryTableField id="10" name="DataFechamento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A5F52B0F-21E2-4BAC-B5D1-148CF8B110BE}" autoFormatId="16" applyNumberFormats="0" applyBorderFormats="0" applyFontFormats="0" applyPatternFormats="0" applyAlignmentFormats="0" applyWidthHeightFormats="0">
  <queryTableRefresh nextId="4">
    <queryTableFields count="3">
      <queryTableField id="1" name="SquadID" tableColumnId="1"/>
      <queryTableField id="2" name="SquadNome" tableColumnId="2"/>
      <queryTableField id="3" name="Area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" xr16:uid="{6CE8733F-61D6-4B99-8EBF-7E00941A9561}" autoFormatId="16" applyNumberFormats="0" applyBorderFormats="0" applyFontFormats="0" applyPatternFormats="0" applyAlignmentFormats="0" applyWidthHeightFormats="0">
  <queryTableRefresh nextId="3">
    <queryTableFields count="2">
      <queryTableField id="1" name="StatusID" tableColumnId="1"/>
      <queryTableField id="2" name="StatusNo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75AF8C-B329-4421-9998-D321B60D1F94}" name="demandas" displayName="demandas" ref="A1:L421" tableType="queryTable" totalsRowShown="0" headerRowDxfId="0">
  <autoFilter ref="A1:L421" xr:uid="{EA75AF8C-B329-4421-9998-D321B60D1F94}"/>
  <tableColumns count="12">
    <tableColumn id="1" xr3:uid="{44B8713D-2712-4A8E-9743-96F49390AD1D}" uniqueName="1" name="DemandaID" queryTableFieldId="1"/>
    <tableColumn id="2" xr3:uid="{8F0F1A47-B76B-43A1-88A2-90EF730AC0C8}" uniqueName="2" name="Titulo" queryTableFieldId="2" dataDxfId="9"/>
    <tableColumn id="3" xr3:uid="{AAF2C317-E24D-4518-9E4E-DAEAE4399F75}" uniqueName="3" name="SquadID" queryTableFieldId="3"/>
    <tableColumn id="4" xr3:uid="{B88BE03A-F767-4BD8-B19C-64780679603E}" uniqueName="4" name="StatusID" queryTableFieldId="4"/>
    <tableColumn id="5" xr3:uid="{B5F9C13C-0BBB-4BDB-A35D-C69149B3E62B}" uniqueName="5" name="PrioridadeID" queryTableFieldId="5"/>
    <tableColumn id="6" xr3:uid="{E8996733-CC6A-4909-BD7D-E5619EDA85A4}" uniqueName="6" name="CategoriaID" queryTableFieldId="6"/>
    <tableColumn id="7" xr3:uid="{A0443688-34FF-440C-ADFC-168604FEB98C}" uniqueName="7" name="ResponsavelID" queryTableFieldId="7"/>
    <tableColumn id="8" xr3:uid="{F8CD1C87-F07F-4342-A749-11C8045B621D}" uniqueName="8" name="DataAbertura" queryTableFieldId="8" dataDxfId="8"/>
    <tableColumn id="9" xr3:uid="{0725634A-0D99-4D1C-813F-4A8D5924414A}" uniqueName="9" name="DataPrazo" queryTableFieldId="9" dataDxfId="7"/>
    <tableColumn id="10" xr3:uid="{C5B9A8FE-17AF-402C-8808-A610B33843CE}" uniqueName="10" name="DataFechamento" queryTableFieldId="10" dataDxfId="6"/>
    <tableColumn id="11" xr3:uid="{8383DE6B-358B-420A-861A-FC794F90EC53}" uniqueName="11" name="SquadNome" queryTableFieldId="11" dataDxfId="3">
      <calculatedColumnFormula>_xlfn.XLOOKUP(demandas[[#This Row],[SquadID]],squads!A:A,squads!B:B,)</calculatedColumnFormula>
    </tableColumn>
    <tableColumn id="12" xr3:uid="{D91CC581-D95E-4DC0-9B6A-8C3969CF4005}" uniqueName="12" name="StatusNome" queryTableFieldId="12" dataDxfId="1">
      <calculatedColumnFormula>VLOOKUP(demandas[[#This Row],[StatusID]],status!A:B,2,)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48120D-231A-4E63-895F-2B0A0FA498CB}" name="squads" displayName="squads" ref="A1:C9" tableType="queryTable" totalsRowShown="0">
  <autoFilter ref="A1:C9" xr:uid="{6048120D-231A-4E63-895F-2B0A0FA498CB}"/>
  <tableColumns count="3">
    <tableColumn id="1" xr3:uid="{02ED1919-9A93-4A1E-8B7E-425FDBF0BBC1}" uniqueName="1" name="SquadID" queryTableFieldId="1"/>
    <tableColumn id="2" xr3:uid="{0141D6BD-8B66-4C99-9AE8-DCF92D207AB3}" uniqueName="2" name="SquadNome" queryTableFieldId="2" dataDxfId="5"/>
    <tableColumn id="3" xr3:uid="{EA280F07-8693-4ED2-B067-BBDBDF1F8CBD}" uniqueName="3" name="Area" queryTableFieldId="3" dataDxf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AC31FC-CCC7-4CC2-81DC-065A83A4D702}" name="status" displayName="status" ref="A1:B6" tableType="queryTable" totalsRowShown="0">
  <autoFilter ref="A1:B6" xr:uid="{98AC31FC-CCC7-4CC2-81DC-065A83A4D702}"/>
  <tableColumns count="2">
    <tableColumn id="1" xr3:uid="{536748ED-45E3-467A-BD47-CBD2EE38F1D3}" uniqueName="1" name="StatusID" queryTableFieldId="1"/>
    <tableColumn id="2" xr3:uid="{D2379CD0-4631-4A34-AC12-EDD5F64FBAD2}" uniqueName="2" name="StatusNome" queryTableFieldId="2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C85BF-6B93-4289-86F5-62751AD462C0}">
  <sheetPr codeName="Planilha1"/>
  <dimension ref="A1:L421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3.5703125" bestFit="1" customWidth="1"/>
    <col min="2" max="2" width="45.85546875" bestFit="1" customWidth="1"/>
    <col min="3" max="4" width="10.5703125" bestFit="1" customWidth="1"/>
    <col min="5" max="5" width="14.42578125" bestFit="1" customWidth="1"/>
    <col min="6" max="6" width="13.5703125" bestFit="1" customWidth="1"/>
    <col min="7" max="7" width="16.42578125" bestFit="1" customWidth="1"/>
    <col min="8" max="8" width="15.140625" bestFit="1" customWidth="1"/>
    <col min="9" max="9" width="12.140625" bestFit="1" customWidth="1"/>
    <col min="10" max="10" width="18.42578125" bestFit="1" customWidth="1"/>
    <col min="11" max="11" width="19.42578125" bestFit="1" customWidth="1"/>
    <col min="12" max="12" width="14.7109375" bestFit="1" customWidth="1"/>
  </cols>
  <sheetData>
    <row r="1" spans="1:12" s="3" customFormat="1" x14ac:dyDescent="0.25">
      <c r="A1" s="4" t="s">
        <v>0</v>
      </c>
      <c r="B1" s="7" t="s">
        <v>1</v>
      </c>
      <c r="C1" s="7" t="s">
        <v>2</v>
      </c>
      <c r="D1" s="4" t="s">
        <v>3</v>
      </c>
      <c r="E1" s="7" t="s">
        <v>4</v>
      </c>
      <c r="F1" s="7" t="s">
        <v>5</v>
      </c>
      <c r="G1" s="4" t="s">
        <v>6</v>
      </c>
      <c r="H1" s="7" t="s">
        <v>7</v>
      </c>
      <c r="I1" s="7" t="s">
        <v>8</v>
      </c>
      <c r="J1" s="4" t="s">
        <v>9</v>
      </c>
      <c r="K1" s="7" t="s">
        <v>430</v>
      </c>
      <c r="L1" s="7" t="s">
        <v>444</v>
      </c>
    </row>
    <row r="2" spans="1:12" x14ac:dyDescent="0.25">
      <c r="A2">
        <v>1</v>
      </c>
      <c r="B2" s="1" t="s">
        <v>10</v>
      </c>
      <c r="C2">
        <v>5</v>
      </c>
      <c r="D2">
        <v>3</v>
      </c>
      <c r="E2">
        <v>1</v>
      </c>
      <c r="F2">
        <v>1</v>
      </c>
      <c r="G2">
        <v>13</v>
      </c>
      <c r="H2" s="2">
        <v>45434</v>
      </c>
      <c r="I2" s="2">
        <v>45438</v>
      </c>
      <c r="J2" s="2">
        <v>45440</v>
      </c>
      <c r="K2" s="2" t="str">
        <f>_xlfn.XLOOKUP(demandas[[#This Row],[SquadID]],squads!A:A,squads!B:B,)</f>
        <v>Squad Dados</v>
      </c>
      <c r="L2" s="2" t="str">
        <f>VLOOKUP(demandas[[#This Row],[StatusID]],status!A:B,2,)</f>
        <v>Concluído</v>
      </c>
    </row>
    <row r="3" spans="1:12" x14ac:dyDescent="0.25">
      <c r="A3">
        <v>2</v>
      </c>
      <c r="B3" s="1" t="s">
        <v>11</v>
      </c>
      <c r="C3">
        <v>3</v>
      </c>
      <c r="D3">
        <v>3</v>
      </c>
      <c r="E3">
        <v>1</v>
      </c>
      <c r="F3">
        <v>1</v>
      </c>
      <c r="G3">
        <v>9</v>
      </c>
      <c r="H3" s="2">
        <v>45319</v>
      </c>
      <c r="I3" s="2">
        <v>45325</v>
      </c>
      <c r="J3" s="2">
        <v>45323</v>
      </c>
      <c r="K3" s="2" t="str">
        <f>_xlfn.XLOOKUP(demandas[[#This Row],[SquadID]],squads!A:A,squads!B:B,)</f>
        <v>Squad Onboarding</v>
      </c>
      <c r="L3" s="2" t="str">
        <f>VLOOKUP(demandas[[#This Row],[StatusID]],status!A:B,2,)</f>
        <v>Concluído</v>
      </c>
    </row>
    <row r="4" spans="1:12" x14ac:dyDescent="0.25">
      <c r="A4">
        <v>3</v>
      </c>
      <c r="B4" s="1" t="s">
        <v>12</v>
      </c>
      <c r="C4">
        <v>4</v>
      </c>
      <c r="D4">
        <v>3</v>
      </c>
      <c r="E4">
        <v>2</v>
      </c>
      <c r="F4">
        <v>5</v>
      </c>
      <c r="G4">
        <v>10</v>
      </c>
      <c r="H4" s="2">
        <v>45724</v>
      </c>
      <c r="I4" s="2">
        <v>45737</v>
      </c>
      <c r="J4" s="2">
        <v>45737</v>
      </c>
      <c r="K4" s="2" t="str">
        <f>_xlfn.XLOOKUP(demandas[[#This Row],[SquadID]],squads!A:A,squads!B:B,)</f>
        <v>Squad Segurança</v>
      </c>
      <c r="L4" s="2" t="str">
        <f>VLOOKUP(demandas[[#This Row],[StatusID]],status!A:B,2,)</f>
        <v>Concluído</v>
      </c>
    </row>
    <row r="5" spans="1:12" x14ac:dyDescent="0.25">
      <c r="A5">
        <v>4</v>
      </c>
      <c r="B5" s="1" t="s">
        <v>13</v>
      </c>
      <c r="C5">
        <v>1</v>
      </c>
      <c r="D5">
        <v>3</v>
      </c>
      <c r="E5">
        <v>3</v>
      </c>
      <c r="F5">
        <v>2</v>
      </c>
      <c r="G5">
        <v>2</v>
      </c>
      <c r="H5" s="2">
        <v>45562</v>
      </c>
      <c r="I5" s="2">
        <v>45580</v>
      </c>
      <c r="J5" s="2">
        <v>45575</v>
      </c>
      <c r="K5" s="2" t="str">
        <f>_xlfn.XLOOKUP(demandas[[#This Row],[SquadID]],squads!A:A,squads!B:B,)</f>
        <v>Squad Pagamentos</v>
      </c>
      <c r="L5" s="2" t="str">
        <f>VLOOKUP(demandas[[#This Row],[StatusID]],status!A:B,2,)</f>
        <v>Concluído</v>
      </c>
    </row>
    <row r="6" spans="1:12" x14ac:dyDescent="0.25">
      <c r="A6">
        <v>5</v>
      </c>
      <c r="B6" s="1" t="s">
        <v>14</v>
      </c>
      <c r="C6">
        <v>5</v>
      </c>
      <c r="D6">
        <v>1</v>
      </c>
      <c r="E6">
        <v>4</v>
      </c>
      <c r="F6">
        <v>3</v>
      </c>
      <c r="G6">
        <v>14</v>
      </c>
      <c r="H6" s="2">
        <v>45488</v>
      </c>
      <c r="I6" s="2">
        <v>45517</v>
      </c>
      <c r="J6" s="2"/>
      <c r="K6" s="2" t="str">
        <f>_xlfn.XLOOKUP(demandas[[#This Row],[SquadID]],squads!A:A,squads!B:B,)</f>
        <v>Squad Dados</v>
      </c>
      <c r="L6" s="2" t="str">
        <f>VLOOKUP(demandas[[#This Row],[StatusID]],status!A:B,2,)</f>
        <v>Aberto</v>
      </c>
    </row>
    <row r="7" spans="1:12" x14ac:dyDescent="0.25">
      <c r="A7">
        <v>6</v>
      </c>
      <c r="B7" s="1" t="s">
        <v>15</v>
      </c>
      <c r="C7">
        <v>6</v>
      </c>
      <c r="D7">
        <v>3</v>
      </c>
      <c r="E7">
        <v>4</v>
      </c>
      <c r="F7">
        <v>5</v>
      </c>
      <c r="G7">
        <v>16</v>
      </c>
      <c r="H7" s="2">
        <v>45681</v>
      </c>
      <c r="I7" s="2">
        <v>45713</v>
      </c>
      <c r="J7" s="2">
        <v>45716</v>
      </c>
      <c r="K7" s="2" t="str">
        <f>_xlfn.XLOOKUP(demandas[[#This Row],[SquadID]],squads!A:A,squads!B:B,)</f>
        <v>Squad Integrações</v>
      </c>
      <c r="L7" s="2" t="str">
        <f>VLOOKUP(demandas[[#This Row],[StatusID]],status!A:B,2,)</f>
        <v>Concluído</v>
      </c>
    </row>
    <row r="8" spans="1:12" x14ac:dyDescent="0.25">
      <c r="A8">
        <v>7</v>
      </c>
      <c r="B8" s="1" t="s">
        <v>16</v>
      </c>
      <c r="C8">
        <v>3</v>
      </c>
      <c r="D8">
        <v>3</v>
      </c>
      <c r="E8">
        <v>3</v>
      </c>
      <c r="F8">
        <v>4</v>
      </c>
      <c r="G8">
        <v>9</v>
      </c>
      <c r="H8" s="2">
        <v>45365</v>
      </c>
      <c r="I8" s="2">
        <v>45385</v>
      </c>
      <c r="J8" s="2">
        <v>45380</v>
      </c>
      <c r="K8" s="2" t="str">
        <f>_xlfn.XLOOKUP(demandas[[#This Row],[SquadID]],squads!A:A,squads!B:B,)</f>
        <v>Squad Onboarding</v>
      </c>
      <c r="L8" s="2" t="str">
        <f>VLOOKUP(demandas[[#This Row],[StatusID]],status!A:B,2,)</f>
        <v>Concluído</v>
      </c>
    </row>
    <row r="9" spans="1:12" x14ac:dyDescent="0.25">
      <c r="A9">
        <v>8</v>
      </c>
      <c r="B9" s="1" t="s">
        <v>17</v>
      </c>
      <c r="C9">
        <v>2</v>
      </c>
      <c r="D9">
        <v>3</v>
      </c>
      <c r="E9">
        <v>4</v>
      </c>
      <c r="F9">
        <v>4</v>
      </c>
      <c r="G9">
        <v>4</v>
      </c>
      <c r="H9" s="6">
        <v>45624</v>
      </c>
      <c r="I9" s="2">
        <v>45652</v>
      </c>
      <c r="J9" s="2">
        <v>45635</v>
      </c>
      <c r="K9" s="2" t="str">
        <f>_xlfn.XLOOKUP(demandas[[#This Row],[SquadID]],squads!A:A,squads!B:B,)</f>
        <v>Squad Crédito</v>
      </c>
      <c r="L9" s="2" t="str">
        <f>VLOOKUP(demandas[[#This Row],[StatusID]],status!A:B,2,)</f>
        <v>Concluído</v>
      </c>
    </row>
    <row r="10" spans="1:12" x14ac:dyDescent="0.25">
      <c r="A10">
        <v>9</v>
      </c>
      <c r="B10" s="1" t="s">
        <v>18</v>
      </c>
      <c r="C10">
        <v>2</v>
      </c>
      <c r="D10">
        <v>3</v>
      </c>
      <c r="E10">
        <v>2</v>
      </c>
      <c r="F10">
        <v>5</v>
      </c>
      <c r="G10">
        <v>6</v>
      </c>
      <c r="H10" s="2">
        <v>45614</v>
      </c>
      <c r="I10" s="2">
        <v>45625</v>
      </c>
      <c r="J10" s="2">
        <v>45625</v>
      </c>
      <c r="K10" s="2" t="str">
        <f>_xlfn.XLOOKUP(demandas[[#This Row],[SquadID]],squads!A:A,squads!B:B,)</f>
        <v>Squad Crédito</v>
      </c>
      <c r="L10" s="2" t="str">
        <f>VLOOKUP(demandas[[#This Row],[StatusID]],status!A:B,2,)</f>
        <v>Concluído</v>
      </c>
    </row>
    <row r="11" spans="1:12" x14ac:dyDescent="0.25">
      <c r="A11">
        <v>10</v>
      </c>
      <c r="B11" s="1" t="s">
        <v>19</v>
      </c>
      <c r="C11">
        <v>1</v>
      </c>
      <c r="D11">
        <v>4</v>
      </c>
      <c r="E11">
        <v>2</v>
      </c>
      <c r="F11">
        <v>4</v>
      </c>
      <c r="G11">
        <v>3</v>
      </c>
      <c r="H11" s="2">
        <v>45561</v>
      </c>
      <c r="I11" s="2">
        <v>45575</v>
      </c>
      <c r="J11" s="2"/>
      <c r="K11" s="2" t="str">
        <f>_xlfn.XLOOKUP(demandas[[#This Row],[SquadID]],squads!A:A,squads!B:B,)</f>
        <v>Squad Pagamentos</v>
      </c>
      <c r="L11" s="2" t="str">
        <f>VLOOKUP(demandas[[#This Row],[StatusID]],status!A:B,2,)</f>
        <v>Bloqueado</v>
      </c>
    </row>
    <row r="12" spans="1:12" x14ac:dyDescent="0.25">
      <c r="A12">
        <v>11</v>
      </c>
      <c r="B12" s="1" t="s">
        <v>20</v>
      </c>
      <c r="C12">
        <v>3</v>
      </c>
      <c r="D12">
        <v>4</v>
      </c>
      <c r="E12">
        <v>4</v>
      </c>
      <c r="F12">
        <v>1</v>
      </c>
      <c r="G12">
        <v>8</v>
      </c>
      <c r="H12" s="2">
        <v>45385</v>
      </c>
      <c r="I12" s="2">
        <v>45413</v>
      </c>
      <c r="J12" s="2"/>
      <c r="K12" s="2" t="str">
        <f>_xlfn.XLOOKUP(demandas[[#This Row],[SquadID]],squads!A:A,squads!B:B,)</f>
        <v>Squad Onboarding</v>
      </c>
      <c r="L12" s="2" t="str">
        <f>VLOOKUP(demandas[[#This Row],[StatusID]],status!A:B,2,)</f>
        <v>Bloqueado</v>
      </c>
    </row>
    <row r="13" spans="1:12" x14ac:dyDescent="0.25">
      <c r="A13">
        <v>12</v>
      </c>
      <c r="B13" s="1" t="s">
        <v>21</v>
      </c>
      <c r="C13">
        <v>5</v>
      </c>
      <c r="D13">
        <v>3</v>
      </c>
      <c r="E13">
        <v>3</v>
      </c>
      <c r="F13">
        <v>2</v>
      </c>
      <c r="G13">
        <v>13</v>
      </c>
      <c r="H13" s="2">
        <v>45686</v>
      </c>
      <c r="I13" s="2">
        <v>45710</v>
      </c>
      <c r="J13" s="6">
        <v>45695</v>
      </c>
      <c r="K13" s="2" t="str">
        <f>_xlfn.XLOOKUP(demandas[[#This Row],[SquadID]],squads!A:A,squads!B:B,)</f>
        <v>Squad Dados</v>
      </c>
      <c r="L13" s="2" t="str">
        <f>VLOOKUP(demandas[[#This Row],[StatusID]],status!A:B,2,)</f>
        <v>Concluído</v>
      </c>
    </row>
    <row r="14" spans="1:12" x14ac:dyDescent="0.25">
      <c r="A14">
        <v>13</v>
      </c>
      <c r="B14" s="1" t="s">
        <v>22</v>
      </c>
      <c r="C14">
        <v>7</v>
      </c>
      <c r="D14">
        <v>2</v>
      </c>
      <c r="E14">
        <v>1</v>
      </c>
      <c r="F14">
        <v>4</v>
      </c>
      <c r="G14" s="3">
        <v>21</v>
      </c>
      <c r="H14" s="2">
        <v>45565</v>
      </c>
      <c r="I14" s="2">
        <v>45573</v>
      </c>
      <c r="J14" s="2"/>
      <c r="K14" s="2" t="str">
        <f>_xlfn.XLOOKUP(demandas[[#This Row],[SquadID]],squads!A:A,squads!B:B,)</f>
        <v>Squad Experiência</v>
      </c>
      <c r="L14" s="2" t="str">
        <f>VLOOKUP(demandas[[#This Row],[StatusID]],status!A:B,2,)</f>
        <v>Em Andamento</v>
      </c>
    </row>
    <row r="15" spans="1:12" x14ac:dyDescent="0.25">
      <c r="A15">
        <v>14</v>
      </c>
      <c r="B15" s="1" t="s">
        <v>23</v>
      </c>
      <c r="C15">
        <v>1</v>
      </c>
      <c r="D15">
        <v>3</v>
      </c>
      <c r="E15">
        <v>1</v>
      </c>
      <c r="F15">
        <v>4</v>
      </c>
      <c r="G15">
        <v>3</v>
      </c>
      <c r="H15" s="2">
        <v>45561</v>
      </c>
      <c r="I15" s="2">
        <v>45566</v>
      </c>
      <c r="J15" s="2">
        <v>45564</v>
      </c>
      <c r="K15" s="2" t="str">
        <f>_xlfn.XLOOKUP(demandas[[#This Row],[SquadID]],squads!A:A,squads!B:B,)</f>
        <v>Squad Pagamentos</v>
      </c>
      <c r="L15" s="2" t="str">
        <f>VLOOKUP(demandas[[#This Row],[StatusID]],status!A:B,2,)</f>
        <v>Concluído</v>
      </c>
    </row>
    <row r="16" spans="1:12" x14ac:dyDescent="0.25">
      <c r="A16">
        <v>15</v>
      </c>
      <c r="B16" s="1" t="s">
        <v>24</v>
      </c>
      <c r="C16">
        <v>5</v>
      </c>
      <c r="D16">
        <v>3</v>
      </c>
      <c r="E16">
        <v>3</v>
      </c>
      <c r="F16">
        <v>1</v>
      </c>
      <c r="G16">
        <v>13</v>
      </c>
      <c r="H16" s="2">
        <v>45292</v>
      </c>
      <c r="I16" s="2">
        <v>45315</v>
      </c>
      <c r="J16" s="2">
        <v>45304</v>
      </c>
      <c r="K16" s="2" t="str">
        <f>_xlfn.XLOOKUP(demandas[[#This Row],[SquadID]],squads!A:A,squads!B:B,)</f>
        <v>Squad Dados</v>
      </c>
      <c r="L16" s="2" t="str">
        <f>VLOOKUP(demandas[[#This Row],[StatusID]],status!A:B,2,)</f>
        <v>Concluído</v>
      </c>
    </row>
    <row r="17" spans="1:12" x14ac:dyDescent="0.25">
      <c r="A17">
        <v>16</v>
      </c>
      <c r="B17" s="1" t="s">
        <v>25</v>
      </c>
      <c r="C17">
        <v>6</v>
      </c>
      <c r="D17">
        <v>3</v>
      </c>
      <c r="E17">
        <v>2</v>
      </c>
      <c r="F17">
        <v>1</v>
      </c>
      <c r="G17">
        <v>18</v>
      </c>
      <c r="H17" s="2">
        <v>45372</v>
      </c>
      <c r="I17" s="2">
        <v>45381</v>
      </c>
      <c r="J17" s="2">
        <v>45394</v>
      </c>
      <c r="K17" s="2" t="str">
        <f>_xlfn.XLOOKUP(demandas[[#This Row],[SquadID]],squads!A:A,squads!B:B,)</f>
        <v>Squad Integrações</v>
      </c>
      <c r="L17" s="2" t="str">
        <f>VLOOKUP(demandas[[#This Row],[StatusID]],status!A:B,2,)</f>
        <v>Concluído</v>
      </c>
    </row>
    <row r="18" spans="1:12" x14ac:dyDescent="0.25">
      <c r="A18">
        <v>17</v>
      </c>
      <c r="B18" s="1" t="s">
        <v>26</v>
      </c>
      <c r="C18">
        <v>6</v>
      </c>
      <c r="D18">
        <v>3</v>
      </c>
      <c r="E18">
        <v>2</v>
      </c>
      <c r="F18">
        <v>3</v>
      </c>
      <c r="G18">
        <v>18</v>
      </c>
      <c r="H18" s="2">
        <v>45461</v>
      </c>
      <c r="I18" s="2">
        <v>45473</v>
      </c>
      <c r="J18" s="2">
        <v>45465</v>
      </c>
      <c r="K18" s="2" t="str">
        <f>_xlfn.XLOOKUP(demandas[[#This Row],[SquadID]],squads!A:A,squads!B:B,)</f>
        <v>Squad Integrações</v>
      </c>
      <c r="L18" s="2" t="str">
        <f>VLOOKUP(demandas[[#This Row],[StatusID]],status!A:B,2,)</f>
        <v>Concluído</v>
      </c>
    </row>
    <row r="19" spans="1:12" x14ac:dyDescent="0.25">
      <c r="A19">
        <v>18</v>
      </c>
      <c r="B19" s="1" t="s">
        <v>27</v>
      </c>
      <c r="C19">
        <v>6</v>
      </c>
      <c r="D19">
        <v>4</v>
      </c>
      <c r="E19">
        <v>3</v>
      </c>
      <c r="F19">
        <v>4</v>
      </c>
      <c r="G19">
        <v>17</v>
      </c>
      <c r="H19" s="2">
        <v>45674</v>
      </c>
      <c r="I19" s="2">
        <v>45699</v>
      </c>
      <c r="J19" s="2"/>
      <c r="K19" s="2" t="str">
        <f>_xlfn.XLOOKUP(demandas[[#This Row],[SquadID]],squads!A:A,squads!B:B,)</f>
        <v>Squad Integrações</v>
      </c>
      <c r="L19" s="2" t="str">
        <f>VLOOKUP(demandas[[#This Row],[StatusID]],status!A:B,2,)</f>
        <v>Bloqueado</v>
      </c>
    </row>
    <row r="20" spans="1:12" x14ac:dyDescent="0.25">
      <c r="A20">
        <v>19</v>
      </c>
      <c r="B20" s="5" t="s">
        <v>28</v>
      </c>
      <c r="C20">
        <v>1</v>
      </c>
      <c r="D20">
        <v>1</v>
      </c>
      <c r="E20">
        <v>2</v>
      </c>
      <c r="F20">
        <v>2</v>
      </c>
      <c r="G20">
        <v>3</v>
      </c>
      <c r="H20" s="2">
        <v>45527</v>
      </c>
      <c r="I20" s="2">
        <v>45538</v>
      </c>
      <c r="J20" s="2"/>
      <c r="K20" s="2" t="str">
        <f>_xlfn.XLOOKUP(demandas[[#This Row],[SquadID]],squads!A:A,squads!B:B,)</f>
        <v>Squad Pagamentos</v>
      </c>
      <c r="L20" s="2" t="str">
        <f>VLOOKUP(demandas[[#This Row],[StatusID]],status!A:B,2,)</f>
        <v>Aberto</v>
      </c>
    </row>
    <row r="21" spans="1:12" x14ac:dyDescent="0.25">
      <c r="A21">
        <v>20</v>
      </c>
      <c r="B21" s="1" t="s">
        <v>29</v>
      </c>
      <c r="C21">
        <v>5</v>
      </c>
      <c r="D21">
        <v>3</v>
      </c>
      <c r="E21">
        <v>2</v>
      </c>
      <c r="F21">
        <v>5</v>
      </c>
      <c r="G21">
        <v>14</v>
      </c>
      <c r="H21" s="2">
        <v>45364</v>
      </c>
      <c r="I21" s="2">
        <v>45375</v>
      </c>
      <c r="J21" s="2">
        <v>45373</v>
      </c>
      <c r="K21" s="2" t="str">
        <f>_xlfn.XLOOKUP(demandas[[#This Row],[SquadID]],squads!A:A,squads!B:B,)</f>
        <v>Squad Dados</v>
      </c>
      <c r="L21" s="2" t="str">
        <f>VLOOKUP(demandas[[#This Row],[StatusID]],status!A:B,2,)</f>
        <v>Concluído</v>
      </c>
    </row>
    <row r="22" spans="1:12" x14ac:dyDescent="0.25">
      <c r="A22">
        <v>21</v>
      </c>
      <c r="B22" s="1" t="s">
        <v>30</v>
      </c>
      <c r="C22">
        <v>6</v>
      </c>
      <c r="D22">
        <v>2</v>
      </c>
      <c r="E22">
        <v>4</v>
      </c>
      <c r="F22">
        <v>3</v>
      </c>
      <c r="G22">
        <v>16</v>
      </c>
      <c r="H22" s="2">
        <v>45776</v>
      </c>
      <c r="I22" s="2">
        <v>45810</v>
      </c>
      <c r="J22" s="2"/>
      <c r="K22" s="2" t="str">
        <f>_xlfn.XLOOKUP(demandas[[#This Row],[SquadID]],squads!A:A,squads!B:B,)</f>
        <v>Squad Integrações</v>
      </c>
      <c r="L22" s="2" t="str">
        <f>VLOOKUP(demandas[[#This Row],[StatusID]],status!A:B,2,)</f>
        <v>Em Andamento</v>
      </c>
    </row>
    <row r="23" spans="1:12" x14ac:dyDescent="0.25">
      <c r="A23">
        <v>22</v>
      </c>
      <c r="B23" s="1" t="s">
        <v>31</v>
      </c>
      <c r="C23">
        <v>5</v>
      </c>
      <c r="D23">
        <v>2</v>
      </c>
      <c r="E23">
        <v>3</v>
      </c>
      <c r="F23">
        <v>2</v>
      </c>
      <c r="G23">
        <v>15</v>
      </c>
      <c r="H23" s="2">
        <v>45347</v>
      </c>
      <c r="I23" s="2">
        <v>45366</v>
      </c>
      <c r="J23" s="2"/>
      <c r="K23" s="2" t="str">
        <f>_xlfn.XLOOKUP(demandas[[#This Row],[SquadID]],squads!A:A,squads!B:B,)</f>
        <v>Squad Dados</v>
      </c>
      <c r="L23" s="2" t="str">
        <f>VLOOKUP(demandas[[#This Row],[StatusID]],status!A:B,2,)</f>
        <v>Em Andamento</v>
      </c>
    </row>
    <row r="24" spans="1:12" x14ac:dyDescent="0.25">
      <c r="A24">
        <v>23</v>
      </c>
      <c r="B24" s="1" t="s">
        <v>32</v>
      </c>
      <c r="C24">
        <v>3</v>
      </c>
      <c r="D24">
        <v>3</v>
      </c>
      <c r="E24">
        <v>4</v>
      </c>
      <c r="F24">
        <v>1</v>
      </c>
      <c r="G24">
        <v>7</v>
      </c>
      <c r="H24" s="2">
        <v>45751</v>
      </c>
      <c r="I24" s="2">
        <v>45781</v>
      </c>
      <c r="J24" s="2">
        <v>45759</v>
      </c>
      <c r="K24" s="2" t="str">
        <f>_xlfn.XLOOKUP(demandas[[#This Row],[SquadID]],squads!A:A,squads!B:B,)</f>
        <v>Squad Onboarding</v>
      </c>
      <c r="L24" s="2" t="str">
        <f>VLOOKUP(demandas[[#This Row],[StatusID]],status!A:B,2,)</f>
        <v>Concluído</v>
      </c>
    </row>
    <row r="25" spans="1:12" x14ac:dyDescent="0.25">
      <c r="A25">
        <v>24</v>
      </c>
      <c r="B25" s="1" t="s">
        <v>33</v>
      </c>
      <c r="C25">
        <v>4</v>
      </c>
      <c r="D25">
        <v>4</v>
      </c>
      <c r="E25">
        <v>4</v>
      </c>
      <c r="F25">
        <v>3</v>
      </c>
      <c r="G25">
        <v>10</v>
      </c>
      <c r="H25" s="2">
        <v>45307</v>
      </c>
      <c r="I25" s="2">
        <v>45336</v>
      </c>
      <c r="J25" s="2"/>
      <c r="K25" s="2" t="str">
        <f>_xlfn.XLOOKUP(demandas[[#This Row],[SquadID]],squads!A:A,squads!B:B,)</f>
        <v>Squad Segurança</v>
      </c>
      <c r="L25" s="2" t="str">
        <f>VLOOKUP(demandas[[#This Row],[StatusID]],status!A:B,2,)</f>
        <v>Bloqueado</v>
      </c>
    </row>
    <row r="26" spans="1:12" x14ac:dyDescent="0.25">
      <c r="A26">
        <v>25</v>
      </c>
      <c r="B26" s="1" t="s">
        <v>34</v>
      </c>
      <c r="C26">
        <v>2</v>
      </c>
      <c r="D26">
        <v>3</v>
      </c>
      <c r="E26">
        <v>3</v>
      </c>
      <c r="F26">
        <v>3</v>
      </c>
      <c r="G26">
        <v>5</v>
      </c>
      <c r="H26" s="2">
        <v>45352</v>
      </c>
      <c r="I26" s="2">
        <v>45372</v>
      </c>
      <c r="J26" s="2">
        <v>45377</v>
      </c>
      <c r="K26" s="2" t="str">
        <f>_xlfn.XLOOKUP(demandas[[#This Row],[SquadID]],squads!A:A,squads!B:B,)</f>
        <v>Squad Crédito</v>
      </c>
      <c r="L26" s="2" t="str">
        <f>VLOOKUP(demandas[[#This Row],[StatusID]],status!A:B,2,)</f>
        <v>Concluído</v>
      </c>
    </row>
    <row r="27" spans="1:12" x14ac:dyDescent="0.25">
      <c r="A27">
        <v>26</v>
      </c>
      <c r="B27" s="1" t="s">
        <v>35</v>
      </c>
      <c r="C27">
        <v>6</v>
      </c>
      <c r="D27">
        <v>2</v>
      </c>
      <c r="E27">
        <v>2</v>
      </c>
      <c r="F27">
        <v>4</v>
      </c>
      <c r="G27">
        <v>18</v>
      </c>
      <c r="H27" s="2">
        <v>45790</v>
      </c>
      <c r="I27" s="2">
        <v>45800</v>
      </c>
      <c r="J27" s="2"/>
      <c r="K27" s="2" t="str">
        <f>_xlfn.XLOOKUP(demandas[[#This Row],[SquadID]],squads!A:A,squads!B:B,)</f>
        <v>Squad Integrações</v>
      </c>
      <c r="L27" s="2" t="str">
        <f>VLOOKUP(demandas[[#This Row],[StatusID]],status!A:B,2,)</f>
        <v>Em Andamento</v>
      </c>
    </row>
    <row r="28" spans="1:12" x14ac:dyDescent="0.25">
      <c r="A28">
        <v>27</v>
      </c>
      <c r="B28" s="1" t="s">
        <v>36</v>
      </c>
      <c r="C28">
        <v>8</v>
      </c>
      <c r="D28">
        <v>2</v>
      </c>
      <c r="E28">
        <v>3</v>
      </c>
      <c r="F28">
        <v>3</v>
      </c>
      <c r="G28">
        <v>24</v>
      </c>
      <c r="H28" s="2">
        <v>45613</v>
      </c>
      <c r="I28" s="2">
        <v>45631</v>
      </c>
      <c r="J28" s="2"/>
      <c r="K28" s="2" t="str">
        <f>_xlfn.XLOOKUP(demandas[[#This Row],[SquadID]],squads!A:A,squads!B:B,)</f>
        <v>Squad Infraestrutura</v>
      </c>
      <c r="L28" s="2" t="str">
        <f>VLOOKUP(demandas[[#This Row],[StatusID]],status!A:B,2,)</f>
        <v>Em Andamento</v>
      </c>
    </row>
    <row r="29" spans="1:12" x14ac:dyDescent="0.25">
      <c r="A29">
        <v>28</v>
      </c>
      <c r="B29" s="1" t="s">
        <v>37</v>
      </c>
      <c r="C29">
        <v>5</v>
      </c>
      <c r="D29">
        <v>2</v>
      </c>
      <c r="E29">
        <v>4</v>
      </c>
      <c r="F29">
        <v>1</v>
      </c>
      <c r="G29">
        <v>15</v>
      </c>
      <c r="H29" s="2">
        <v>45374</v>
      </c>
      <c r="I29" s="2">
        <v>45404</v>
      </c>
      <c r="J29" s="2"/>
      <c r="K29" s="2" t="str">
        <f>_xlfn.XLOOKUP(demandas[[#This Row],[SquadID]],squads!A:A,squads!B:B,)</f>
        <v>Squad Dados</v>
      </c>
      <c r="L29" s="2" t="str">
        <f>VLOOKUP(demandas[[#This Row],[StatusID]],status!A:B,2,)</f>
        <v>Em Andamento</v>
      </c>
    </row>
    <row r="30" spans="1:12" x14ac:dyDescent="0.25">
      <c r="A30">
        <v>29</v>
      </c>
      <c r="B30" s="1" t="s">
        <v>38</v>
      </c>
      <c r="C30">
        <v>5</v>
      </c>
      <c r="D30">
        <v>3</v>
      </c>
      <c r="E30">
        <v>2</v>
      </c>
      <c r="F30">
        <v>1</v>
      </c>
      <c r="G30">
        <v>15</v>
      </c>
      <c r="H30" s="2">
        <v>45544</v>
      </c>
      <c r="I30" s="2">
        <v>45552</v>
      </c>
      <c r="J30" s="2">
        <v>45550</v>
      </c>
      <c r="K30" s="2" t="str">
        <f>_xlfn.XLOOKUP(demandas[[#This Row],[SquadID]],squads!A:A,squads!B:B,)</f>
        <v>Squad Dados</v>
      </c>
      <c r="L30" s="2" t="str">
        <f>VLOOKUP(demandas[[#This Row],[StatusID]],status!A:B,2,)</f>
        <v>Concluído</v>
      </c>
    </row>
    <row r="31" spans="1:12" x14ac:dyDescent="0.25">
      <c r="A31">
        <v>30</v>
      </c>
      <c r="B31" s="1" t="s">
        <v>39</v>
      </c>
      <c r="C31">
        <v>2</v>
      </c>
      <c r="D31">
        <v>3</v>
      </c>
      <c r="E31">
        <v>3</v>
      </c>
      <c r="F31">
        <v>1</v>
      </c>
      <c r="G31">
        <v>5</v>
      </c>
      <c r="H31" s="2">
        <v>45426</v>
      </c>
      <c r="I31" s="2">
        <v>45448</v>
      </c>
      <c r="J31" s="2">
        <v>45463</v>
      </c>
      <c r="K31" s="2" t="str">
        <f>_xlfn.XLOOKUP(demandas[[#This Row],[SquadID]],squads!A:A,squads!B:B,)</f>
        <v>Squad Crédito</v>
      </c>
      <c r="L31" s="2" t="str">
        <f>VLOOKUP(demandas[[#This Row],[StatusID]],status!A:B,2,)</f>
        <v>Concluído</v>
      </c>
    </row>
    <row r="32" spans="1:12" x14ac:dyDescent="0.25">
      <c r="A32">
        <v>31</v>
      </c>
      <c r="B32" s="1" t="s">
        <v>40</v>
      </c>
      <c r="C32">
        <v>1</v>
      </c>
      <c r="D32">
        <v>3</v>
      </c>
      <c r="E32">
        <v>3</v>
      </c>
      <c r="F32">
        <v>3</v>
      </c>
      <c r="G32">
        <v>1</v>
      </c>
      <c r="H32" s="2">
        <v>45367</v>
      </c>
      <c r="I32" s="2">
        <v>45388</v>
      </c>
      <c r="J32" s="2">
        <v>45379</v>
      </c>
      <c r="K32" s="2" t="str">
        <f>_xlfn.XLOOKUP(demandas[[#This Row],[SquadID]],squads!A:A,squads!B:B,)</f>
        <v>Squad Pagamentos</v>
      </c>
      <c r="L32" s="2" t="str">
        <f>VLOOKUP(demandas[[#This Row],[StatusID]],status!A:B,2,)</f>
        <v>Concluído</v>
      </c>
    </row>
    <row r="33" spans="1:12" x14ac:dyDescent="0.25">
      <c r="A33">
        <v>32</v>
      </c>
      <c r="B33" s="1" t="s">
        <v>41</v>
      </c>
      <c r="C33">
        <v>7</v>
      </c>
      <c r="D33">
        <v>3</v>
      </c>
      <c r="E33">
        <v>3</v>
      </c>
      <c r="F33">
        <v>1</v>
      </c>
      <c r="G33">
        <v>21</v>
      </c>
      <c r="H33" s="2">
        <v>45601</v>
      </c>
      <c r="I33" s="2">
        <v>45619</v>
      </c>
      <c r="J33" s="2">
        <v>45605</v>
      </c>
      <c r="K33" s="2" t="str">
        <f>_xlfn.XLOOKUP(demandas[[#This Row],[SquadID]],squads!A:A,squads!B:B,)</f>
        <v>Squad Experiência</v>
      </c>
      <c r="L33" s="2" t="str">
        <f>VLOOKUP(demandas[[#This Row],[StatusID]],status!A:B,2,)</f>
        <v>Concluído</v>
      </c>
    </row>
    <row r="34" spans="1:12" x14ac:dyDescent="0.25">
      <c r="A34">
        <v>33</v>
      </c>
      <c r="B34" s="1" t="s">
        <v>42</v>
      </c>
      <c r="C34">
        <v>2</v>
      </c>
      <c r="D34">
        <v>3</v>
      </c>
      <c r="E34">
        <v>4</v>
      </c>
      <c r="F34">
        <v>4</v>
      </c>
      <c r="G34">
        <v>4</v>
      </c>
      <c r="H34" s="2">
        <v>45570</v>
      </c>
      <c r="I34" s="2">
        <v>45602</v>
      </c>
      <c r="J34" s="2">
        <v>45584</v>
      </c>
      <c r="K34" s="2" t="str">
        <f>_xlfn.XLOOKUP(demandas[[#This Row],[SquadID]],squads!A:A,squads!B:B,)</f>
        <v>Squad Crédito</v>
      </c>
      <c r="L34" s="2" t="str">
        <f>VLOOKUP(demandas[[#This Row],[StatusID]],status!A:B,2,)</f>
        <v>Concluído</v>
      </c>
    </row>
    <row r="35" spans="1:12" x14ac:dyDescent="0.25">
      <c r="A35">
        <v>34</v>
      </c>
      <c r="B35" s="1" t="s">
        <v>43</v>
      </c>
      <c r="C35">
        <v>5</v>
      </c>
      <c r="D35">
        <v>3</v>
      </c>
      <c r="E35">
        <v>2</v>
      </c>
      <c r="F35">
        <v>3</v>
      </c>
      <c r="G35">
        <v>13</v>
      </c>
      <c r="H35" s="2">
        <v>45386</v>
      </c>
      <c r="I35" s="2">
        <v>45400</v>
      </c>
      <c r="J35" s="2">
        <v>45392</v>
      </c>
      <c r="K35" s="2" t="str">
        <f>_xlfn.XLOOKUP(demandas[[#This Row],[SquadID]],squads!A:A,squads!B:B,)</f>
        <v>Squad Dados</v>
      </c>
      <c r="L35" s="2" t="str">
        <f>VLOOKUP(demandas[[#This Row],[StatusID]],status!A:B,2,)</f>
        <v>Concluído</v>
      </c>
    </row>
    <row r="36" spans="1:12" x14ac:dyDescent="0.25">
      <c r="A36">
        <v>35</v>
      </c>
      <c r="B36" s="1" t="s">
        <v>44</v>
      </c>
      <c r="C36">
        <v>1</v>
      </c>
      <c r="D36">
        <v>2</v>
      </c>
      <c r="E36">
        <v>4</v>
      </c>
      <c r="F36">
        <v>1</v>
      </c>
      <c r="G36">
        <v>2</v>
      </c>
      <c r="H36" s="2">
        <v>45729</v>
      </c>
      <c r="I36" s="2">
        <v>45757</v>
      </c>
      <c r="J36" s="2"/>
      <c r="K36" s="2" t="str">
        <f>_xlfn.XLOOKUP(demandas[[#This Row],[SquadID]],squads!A:A,squads!B:B,)</f>
        <v>Squad Pagamentos</v>
      </c>
      <c r="L36" s="2" t="str">
        <f>VLOOKUP(demandas[[#This Row],[StatusID]],status!A:B,2,)</f>
        <v>Em Andamento</v>
      </c>
    </row>
    <row r="37" spans="1:12" x14ac:dyDescent="0.25">
      <c r="A37">
        <v>36</v>
      </c>
      <c r="B37" s="1" t="s">
        <v>45</v>
      </c>
      <c r="C37">
        <v>7</v>
      </c>
      <c r="D37">
        <v>2</v>
      </c>
      <c r="E37">
        <v>3</v>
      </c>
      <c r="F37">
        <v>4</v>
      </c>
      <c r="G37">
        <v>21</v>
      </c>
      <c r="H37" s="2">
        <v>45443</v>
      </c>
      <c r="I37" s="2">
        <v>45467</v>
      </c>
      <c r="J37" s="2"/>
      <c r="K37" s="2" t="str">
        <f>_xlfn.XLOOKUP(demandas[[#This Row],[SquadID]],squads!A:A,squads!B:B,)</f>
        <v>Squad Experiência</v>
      </c>
      <c r="L37" s="2" t="str">
        <f>VLOOKUP(demandas[[#This Row],[StatusID]],status!A:B,2,)</f>
        <v>Em Andamento</v>
      </c>
    </row>
    <row r="38" spans="1:12" x14ac:dyDescent="0.25">
      <c r="A38">
        <v>37</v>
      </c>
      <c r="B38" s="1" t="s">
        <v>46</v>
      </c>
      <c r="C38">
        <v>3</v>
      </c>
      <c r="D38">
        <v>3</v>
      </c>
      <c r="E38">
        <v>4</v>
      </c>
      <c r="F38">
        <v>6</v>
      </c>
      <c r="G38">
        <v>7</v>
      </c>
      <c r="H38" s="2">
        <v>45658</v>
      </c>
      <c r="I38" s="2">
        <v>45689</v>
      </c>
      <c r="J38" s="2">
        <v>45670</v>
      </c>
      <c r="K38" s="2" t="str">
        <f>_xlfn.XLOOKUP(demandas[[#This Row],[SquadID]],squads!A:A,squads!B:B,)</f>
        <v>Squad Onboarding</v>
      </c>
      <c r="L38" s="2" t="str">
        <f>VLOOKUP(demandas[[#This Row],[StatusID]],status!A:B,2,)</f>
        <v>Concluído</v>
      </c>
    </row>
    <row r="39" spans="1:12" x14ac:dyDescent="0.25">
      <c r="A39">
        <v>38</v>
      </c>
      <c r="B39" s="1" t="s">
        <v>47</v>
      </c>
      <c r="C39">
        <v>7</v>
      </c>
      <c r="D39">
        <v>5</v>
      </c>
      <c r="E39">
        <v>3</v>
      </c>
      <c r="F39">
        <v>3</v>
      </c>
      <c r="G39">
        <v>19</v>
      </c>
      <c r="H39" s="2">
        <v>45534</v>
      </c>
      <c r="I39" s="2">
        <v>45554</v>
      </c>
      <c r="J39" s="2">
        <v>45569</v>
      </c>
      <c r="K39" s="2" t="str">
        <f>_xlfn.XLOOKUP(demandas[[#This Row],[SquadID]],squads!A:A,squads!B:B,)</f>
        <v>Squad Experiência</v>
      </c>
      <c r="L39" s="2" t="str">
        <f>VLOOKUP(demandas[[#This Row],[StatusID]],status!A:B,2,)</f>
        <v>Cancelado</v>
      </c>
    </row>
    <row r="40" spans="1:12" x14ac:dyDescent="0.25">
      <c r="A40">
        <v>39</v>
      </c>
      <c r="B40" s="1" t="s">
        <v>48</v>
      </c>
      <c r="C40">
        <v>1</v>
      </c>
      <c r="D40">
        <v>3</v>
      </c>
      <c r="E40">
        <v>3</v>
      </c>
      <c r="F40">
        <v>2</v>
      </c>
      <c r="G40">
        <v>2</v>
      </c>
      <c r="H40" s="2">
        <v>45546</v>
      </c>
      <c r="I40" s="2">
        <v>45568</v>
      </c>
      <c r="J40" s="2">
        <v>45559</v>
      </c>
      <c r="K40" s="2" t="str">
        <f>_xlfn.XLOOKUP(demandas[[#This Row],[SquadID]],squads!A:A,squads!B:B,)</f>
        <v>Squad Pagamentos</v>
      </c>
      <c r="L40" s="2" t="str">
        <f>VLOOKUP(demandas[[#This Row],[StatusID]],status!A:B,2,)</f>
        <v>Concluído</v>
      </c>
    </row>
    <row r="41" spans="1:12" x14ac:dyDescent="0.25">
      <c r="A41">
        <v>40</v>
      </c>
      <c r="B41" s="1" t="s">
        <v>49</v>
      </c>
      <c r="C41">
        <v>1</v>
      </c>
      <c r="D41">
        <v>3</v>
      </c>
      <c r="E41">
        <v>3</v>
      </c>
      <c r="F41">
        <v>1</v>
      </c>
      <c r="G41">
        <v>2</v>
      </c>
      <c r="H41" s="2">
        <v>45650</v>
      </c>
      <c r="I41" s="2">
        <v>45672</v>
      </c>
      <c r="J41" s="2">
        <v>45676</v>
      </c>
      <c r="K41" s="2" t="str">
        <f>_xlfn.XLOOKUP(demandas[[#This Row],[SquadID]],squads!A:A,squads!B:B,)</f>
        <v>Squad Pagamentos</v>
      </c>
      <c r="L41" s="2" t="str">
        <f>VLOOKUP(demandas[[#This Row],[StatusID]],status!A:B,2,)</f>
        <v>Concluído</v>
      </c>
    </row>
    <row r="42" spans="1:12" x14ac:dyDescent="0.25">
      <c r="A42">
        <v>41</v>
      </c>
      <c r="B42" s="1" t="s">
        <v>50</v>
      </c>
      <c r="C42">
        <v>5</v>
      </c>
      <c r="D42">
        <v>3</v>
      </c>
      <c r="E42">
        <v>3</v>
      </c>
      <c r="F42">
        <v>1</v>
      </c>
      <c r="G42">
        <v>13</v>
      </c>
      <c r="H42" s="2">
        <v>45577</v>
      </c>
      <c r="I42" s="2">
        <v>45600</v>
      </c>
      <c r="J42" s="2">
        <v>45595</v>
      </c>
      <c r="K42" s="2" t="str">
        <f>_xlfn.XLOOKUP(demandas[[#This Row],[SquadID]],squads!A:A,squads!B:B,)</f>
        <v>Squad Dados</v>
      </c>
      <c r="L42" s="2" t="str">
        <f>VLOOKUP(demandas[[#This Row],[StatusID]],status!A:B,2,)</f>
        <v>Concluído</v>
      </c>
    </row>
    <row r="43" spans="1:12" x14ac:dyDescent="0.25">
      <c r="A43">
        <v>42</v>
      </c>
      <c r="B43" s="1" t="s">
        <v>51</v>
      </c>
      <c r="C43">
        <v>8</v>
      </c>
      <c r="D43">
        <v>2</v>
      </c>
      <c r="E43">
        <v>2</v>
      </c>
      <c r="F43">
        <v>6</v>
      </c>
      <c r="G43">
        <v>22</v>
      </c>
      <c r="H43" s="2">
        <v>45563</v>
      </c>
      <c r="I43" s="2">
        <v>45571</v>
      </c>
      <c r="J43" s="2"/>
      <c r="K43" s="2" t="str">
        <f>_xlfn.XLOOKUP(demandas[[#This Row],[SquadID]],squads!A:A,squads!B:B,)</f>
        <v>Squad Infraestrutura</v>
      </c>
      <c r="L43" s="2" t="str">
        <f>VLOOKUP(demandas[[#This Row],[StatusID]],status!A:B,2,)</f>
        <v>Em Andamento</v>
      </c>
    </row>
    <row r="44" spans="1:12" x14ac:dyDescent="0.25">
      <c r="A44">
        <v>43</v>
      </c>
      <c r="B44" s="1" t="s">
        <v>52</v>
      </c>
      <c r="C44">
        <v>3</v>
      </c>
      <c r="D44">
        <v>4</v>
      </c>
      <c r="E44">
        <v>3</v>
      </c>
      <c r="F44">
        <v>2</v>
      </c>
      <c r="G44">
        <v>9</v>
      </c>
      <c r="H44" s="2">
        <v>45410</v>
      </c>
      <c r="I44" s="2">
        <v>45434</v>
      </c>
      <c r="J44" s="2"/>
      <c r="K44" s="2" t="str">
        <f>_xlfn.XLOOKUP(demandas[[#This Row],[SquadID]],squads!A:A,squads!B:B,)</f>
        <v>Squad Onboarding</v>
      </c>
      <c r="L44" s="2" t="str">
        <f>VLOOKUP(demandas[[#This Row],[StatusID]],status!A:B,2,)</f>
        <v>Bloqueado</v>
      </c>
    </row>
    <row r="45" spans="1:12" x14ac:dyDescent="0.25">
      <c r="A45">
        <v>44</v>
      </c>
      <c r="B45" s="1" t="s">
        <v>53</v>
      </c>
      <c r="C45">
        <v>2</v>
      </c>
      <c r="D45">
        <v>3</v>
      </c>
      <c r="E45">
        <v>3</v>
      </c>
      <c r="F45">
        <v>1</v>
      </c>
      <c r="G45">
        <v>6</v>
      </c>
      <c r="H45" s="2">
        <v>45493</v>
      </c>
      <c r="I45" s="2">
        <v>45516</v>
      </c>
      <c r="J45" s="2">
        <v>45531</v>
      </c>
      <c r="K45" s="2" t="str">
        <f>_xlfn.XLOOKUP(demandas[[#This Row],[SquadID]],squads!A:A,squads!B:B,)</f>
        <v>Squad Crédito</v>
      </c>
      <c r="L45" s="2" t="str">
        <f>VLOOKUP(demandas[[#This Row],[StatusID]],status!A:B,2,)</f>
        <v>Concluído</v>
      </c>
    </row>
    <row r="46" spans="1:12" x14ac:dyDescent="0.25">
      <c r="A46">
        <v>45</v>
      </c>
      <c r="B46" s="1" t="s">
        <v>54</v>
      </c>
      <c r="C46">
        <v>5</v>
      </c>
      <c r="D46">
        <v>2</v>
      </c>
      <c r="E46">
        <v>3</v>
      </c>
      <c r="F46">
        <v>1</v>
      </c>
      <c r="G46">
        <v>14</v>
      </c>
      <c r="H46" s="2">
        <v>45811</v>
      </c>
      <c r="I46" s="2">
        <v>45833</v>
      </c>
      <c r="J46" s="2"/>
      <c r="K46" s="2" t="str">
        <f>_xlfn.XLOOKUP(demandas[[#This Row],[SquadID]],squads!A:A,squads!B:B,)</f>
        <v>Squad Dados</v>
      </c>
      <c r="L46" s="2" t="str">
        <f>VLOOKUP(demandas[[#This Row],[StatusID]],status!A:B,2,)</f>
        <v>Em Andamento</v>
      </c>
    </row>
    <row r="47" spans="1:12" x14ac:dyDescent="0.25">
      <c r="A47">
        <v>46</v>
      </c>
      <c r="B47" s="1" t="s">
        <v>55</v>
      </c>
      <c r="C47">
        <v>3</v>
      </c>
      <c r="D47">
        <v>3</v>
      </c>
      <c r="E47">
        <v>2</v>
      </c>
      <c r="F47">
        <v>1</v>
      </c>
      <c r="G47">
        <v>8</v>
      </c>
      <c r="H47" s="2">
        <v>45680</v>
      </c>
      <c r="I47" s="2">
        <v>45690</v>
      </c>
      <c r="J47" s="2">
        <v>45689</v>
      </c>
      <c r="K47" s="2" t="str">
        <f>_xlfn.XLOOKUP(demandas[[#This Row],[SquadID]],squads!A:A,squads!B:B,)</f>
        <v>Squad Onboarding</v>
      </c>
      <c r="L47" s="2" t="str">
        <f>VLOOKUP(demandas[[#This Row],[StatusID]],status!A:B,2,)</f>
        <v>Concluído</v>
      </c>
    </row>
    <row r="48" spans="1:12" x14ac:dyDescent="0.25">
      <c r="A48">
        <v>47</v>
      </c>
      <c r="B48" s="1" t="s">
        <v>56</v>
      </c>
      <c r="C48">
        <v>2</v>
      </c>
      <c r="D48">
        <v>3</v>
      </c>
      <c r="E48">
        <v>2</v>
      </c>
      <c r="F48">
        <v>4</v>
      </c>
      <c r="G48">
        <v>6</v>
      </c>
      <c r="H48" s="2">
        <v>45621</v>
      </c>
      <c r="I48" s="2">
        <v>45636</v>
      </c>
      <c r="J48" s="2">
        <v>45630</v>
      </c>
      <c r="K48" s="2" t="str">
        <f>_xlfn.XLOOKUP(demandas[[#This Row],[SquadID]],squads!A:A,squads!B:B,)</f>
        <v>Squad Crédito</v>
      </c>
      <c r="L48" s="2" t="str">
        <f>VLOOKUP(demandas[[#This Row],[StatusID]],status!A:B,2,)</f>
        <v>Concluído</v>
      </c>
    </row>
    <row r="49" spans="1:12" x14ac:dyDescent="0.25">
      <c r="A49">
        <v>48</v>
      </c>
      <c r="B49" s="1" t="s">
        <v>57</v>
      </c>
      <c r="C49">
        <v>6</v>
      </c>
      <c r="D49">
        <v>3</v>
      </c>
      <c r="E49">
        <v>4</v>
      </c>
      <c r="F49">
        <v>4</v>
      </c>
      <c r="G49">
        <v>18</v>
      </c>
      <c r="H49" s="2">
        <v>45378</v>
      </c>
      <c r="I49" s="2">
        <v>45410</v>
      </c>
      <c r="J49" s="2">
        <v>45400</v>
      </c>
      <c r="K49" s="2" t="str">
        <f>_xlfn.XLOOKUP(demandas[[#This Row],[SquadID]],squads!A:A,squads!B:B,)</f>
        <v>Squad Integrações</v>
      </c>
      <c r="L49" s="2" t="str">
        <f>VLOOKUP(demandas[[#This Row],[StatusID]],status!A:B,2,)</f>
        <v>Concluído</v>
      </c>
    </row>
    <row r="50" spans="1:12" x14ac:dyDescent="0.25">
      <c r="A50">
        <v>49</v>
      </c>
      <c r="B50" s="1" t="s">
        <v>58</v>
      </c>
      <c r="C50">
        <v>7</v>
      </c>
      <c r="D50">
        <v>1</v>
      </c>
      <c r="E50">
        <v>3</v>
      </c>
      <c r="F50">
        <v>4</v>
      </c>
      <c r="G50">
        <v>19</v>
      </c>
      <c r="H50" s="2">
        <v>45495</v>
      </c>
      <c r="I50" s="2">
        <v>45515</v>
      </c>
      <c r="J50" s="2"/>
      <c r="K50" s="2" t="str">
        <f>_xlfn.XLOOKUP(demandas[[#This Row],[SquadID]],squads!A:A,squads!B:B,)</f>
        <v>Squad Experiência</v>
      </c>
      <c r="L50" s="2" t="str">
        <f>VLOOKUP(demandas[[#This Row],[StatusID]],status!A:B,2,)</f>
        <v>Aberto</v>
      </c>
    </row>
    <row r="51" spans="1:12" x14ac:dyDescent="0.25">
      <c r="A51">
        <v>50</v>
      </c>
      <c r="B51" s="1" t="s">
        <v>59</v>
      </c>
      <c r="C51">
        <v>8</v>
      </c>
      <c r="D51">
        <v>3</v>
      </c>
      <c r="E51">
        <v>3</v>
      </c>
      <c r="F51">
        <v>4</v>
      </c>
      <c r="G51">
        <v>23</v>
      </c>
      <c r="H51" s="2">
        <v>45716</v>
      </c>
      <c r="I51" s="2">
        <v>45737</v>
      </c>
      <c r="J51" s="2">
        <v>45729</v>
      </c>
      <c r="K51" s="2" t="str">
        <f>_xlfn.XLOOKUP(demandas[[#This Row],[SquadID]],squads!A:A,squads!B:B,)</f>
        <v>Squad Infraestrutura</v>
      </c>
      <c r="L51" s="2" t="str">
        <f>VLOOKUP(demandas[[#This Row],[StatusID]],status!A:B,2,)</f>
        <v>Concluído</v>
      </c>
    </row>
    <row r="52" spans="1:12" x14ac:dyDescent="0.25">
      <c r="A52">
        <v>51</v>
      </c>
      <c r="B52" s="1" t="s">
        <v>60</v>
      </c>
      <c r="C52">
        <v>1</v>
      </c>
      <c r="D52">
        <v>3</v>
      </c>
      <c r="E52">
        <v>3</v>
      </c>
      <c r="F52">
        <v>5</v>
      </c>
      <c r="G52">
        <v>1</v>
      </c>
      <c r="H52" s="2">
        <v>45727</v>
      </c>
      <c r="I52" s="2">
        <v>45748</v>
      </c>
      <c r="J52" s="2">
        <v>45757</v>
      </c>
      <c r="K52" s="2" t="str">
        <f>_xlfn.XLOOKUP(demandas[[#This Row],[SquadID]],squads!A:A,squads!B:B,)</f>
        <v>Squad Pagamentos</v>
      </c>
      <c r="L52" s="2" t="str">
        <f>VLOOKUP(demandas[[#This Row],[StatusID]],status!A:B,2,)</f>
        <v>Concluído</v>
      </c>
    </row>
    <row r="53" spans="1:12" x14ac:dyDescent="0.25">
      <c r="A53">
        <v>52</v>
      </c>
      <c r="B53" s="1" t="s">
        <v>61</v>
      </c>
      <c r="C53">
        <v>1</v>
      </c>
      <c r="D53">
        <v>3</v>
      </c>
      <c r="E53">
        <v>2</v>
      </c>
      <c r="F53">
        <v>4</v>
      </c>
      <c r="G53">
        <v>2</v>
      </c>
      <c r="H53" s="2">
        <v>45428</v>
      </c>
      <c r="I53" s="2">
        <v>45443</v>
      </c>
      <c r="J53" s="2">
        <v>45453</v>
      </c>
      <c r="K53" s="2" t="str">
        <f>_xlfn.XLOOKUP(demandas[[#This Row],[SquadID]],squads!A:A,squads!B:B,)</f>
        <v>Squad Pagamentos</v>
      </c>
      <c r="L53" s="2" t="str">
        <f>VLOOKUP(demandas[[#This Row],[StatusID]],status!A:B,2,)</f>
        <v>Concluído</v>
      </c>
    </row>
    <row r="54" spans="1:12" x14ac:dyDescent="0.25">
      <c r="A54">
        <v>53</v>
      </c>
      <c r="B54" s="1" t="s">
        <v>62</v>
      </c>
      <c r="C54">
        <v>8</v>
      </c>
      <c r="D54">
        <v>3</v>
      </c>
      <c r="E54">
        <v>4</v>
      </c>
      <c r="F54">
        <v>3</v>
      </c>
      <c r="G54">
        <v>24</v>
      </c>
      <c r="H54" s="2">
        <v>45808</v>
      </c>
      <c r="I54" s="2">
        <v>45842</v>
      </c>
      <c r="J54" s="2">
        <v>45819</v>
      </c>
      <c r="K54" s="2" t="str">
        <f>_xlfn.XLOOKUP(demandas[[#This Row],[SquadID]],squads!A:A,squads!B:B,)</f>
        <v>Squad Infraestrutura</v>
      </c>
      <c r="L54" s="2" t="str">
        <f>VLOOKUP(demandas[[#This Row],[StatusID]],status!A:B,2,)</f>
        <v>Concluído</v>
      </c>
    </row>
    <row r="55" spans="1:12" x14ac:dyDescent="0.25">
      <c r="A55">
        <v>54</v>
      </c>
      <c r="B55" s="1" t="s">
        <v>63</v>
      </c>
      <c r="C55">
        <v>7</v>
      </c>
      <c r="D55">
        <v>3</v>
      </c>
      <c r="E55">
        <v>3</v>
      </c>
      <c r="F55">
        <v>4</v>
      </c>
      <c r="G55">
        <v>21</v>
      </c>
      <c r="H55" s="2">
        <v>45575</v>
      </c>
      <c r="I55" s="2">
        <v>45600</v>
      </c>
      <c r="J55" s="2">
        <v>45578</v>
      </c>
      <c r="K55" s="2" t="str">
        <f>_xlfn.XLOOKUP(demandas[[#This Row],[SquadID]],squads!A:A,squads!B:B,)</f>
        <v>Squad Experiência</v>
      </c>
      <c r="L55" s="2" t="str">
        <f>VLOOKUP(demandas[[#This Row],[StatusID]],status!A:B,2,)</f>
        <v>Concluído</v>
      </c>
    </row>
    <row r="56" spans="1:12" x14ac:dyDescent="0.25">
      <c r="A56">
        <v>55</v>
      </c>
      <c r="B56" s="1" t="s">
        <v>64</v>
      </c>
      <c r="C56">
        <v>2</v>
      </c>
      <c r="D56">
        <v>3</v>
      </c>
      <c r="E56">
        <v>2</v>
      </c>
      <c r="F56">
        <v>2</v>
      </c>
      <c r="G56">
        <v>6</v>
      </c>
      <c r="H56" s="2">
        <v>45374</v>
      </c>
      <c r="I56" s="2">
        <v>45384</v>
      </c>
      <c r="J56" s="2">
        <v>45377</v>
      </c>
      <c r="K56" s="2" t="str">
        <f>_xlfn.XLOOKUP(demandas[[#This Row],[SquadID]],squads!A:A,squads!B:B,)</f>
        <v>Squad Crédito</v>
      </c>
      <c r="L56" s="2" t="str">
        <f>VLOOKUP(demandas[[#This Row],[StatusID]],status!A:B,2,)</f>
        <v>Concluído</v>
      </c>
    </row>
    <row r="57" spans="1:12" x14ac:dyDescent="0.25">
      <c r="A57">
        <v>56</v>
      </c>
      <c r="B57" s="1" t="s">
        <v>65</v>
      </c>
      <c r="C57">
        <v>2</v>
      </c>
      <c r="D57">
        <v>3</v>
      </c>
      <c r="E57">
        <v>3</v>
      </c>
      <c r="F57">
        <v>2</v>
      </c>
      <c r="G57">
        <v>5</v>
      </c>
      <c r="H57" s="2">
        <v>45717</v>
      </c>
      <c r="I57" s="2">
        <v>45735</v>
      </c>
      <c r="J57" s="2">
        <v>45718</v>
      </c>
      <c r="K57" s="2" t="str">
        <f>_xlfn.XLOOKUP(demandas[[#This Row],[SquadID]],squads!A:A,squads!B:B,)</f>
        <v>Squad Crédito</v>
      </c>
      <c r="L57" s="2" t="str">
        <f>VLOOKUP(demandas[[#This Row],[StatusID]],status!A:B,2,)</f>
        <v>Concluído</v>
      </c>
    </row>
    <row r="58" spans="1:12" x14ac:dyDescent="0.25">
      <c r="A58">
        <v>57</v>
      </c>
      <c r="B58" s="1" t="s">
        <v>66</v>
      </c>
      <c r="C58">
        <v>7</v>
      </c>
      <c r="D58">
        <v>4</v>
      </c>
      <c r="E58">
        <v>3</v>
      </c>
      <c r="F58">
        <v>3</v>
      </c>
      <c r="G58">
        <v>20</v>
      </c>
      <c r="H58" s="2">
        <v>45597</v>
      </c>
      <c r="I58" s="2">
        <v>45621</v>
      </c>
      <c r="J58" s="2"/>
      <c r="K58" s="2" t="str">
        <f>_xlfn.XLOOKUP(demandas[[#This Row],[SquadID]],squads!A:A,squads!B:B,)</f>
        <v>Squad Experiência</v>
      </c>
      <c r="L58" s="2" t="str">
        <f>VLOOKUP(demandas[[#This Row],[StatusID]],status!A:B,2,)</f>
        <v>Bloqueado</v>
      </c>
    </row>
    <row r="59" spans="1:12" x14ac:dyDescent="0.25">
      <c r="A59">
        <v>58</v>
      </c>
      <c r="B59" s="1" t="s">
        <v>67</v>
      </c>
      <c r="C59">
        <v>3</v>
      </c>
      <c r="D59">
        <v>3</v>
      </c>
      <c r="E59">
        <v>3</v>
      </c>
      <c r="F59">
        <v>3</v>
      </c>
      <c r="G59">
        <v>9</v>
      </c>
      <c r="H59" s="2">
        <v>45517</v>
      </c>
      <c r="I59" s="2">
        <v>45542</v>
      </c>
      <c r="J59" s="2">
        <v>45518</v>
      </c>
      <c r="K59" s="2" t="str">
        <f>_xlfn.XLOOKUP(demandas[[#This Row],[SquadID]],squads!A:A,squads!B:B,)</f>
        <v>Squad Onboarding</v>
      </c>
      <c r="L59" s="2" t="str">
        <f>VLOOKUP(demandas[[#This Row],[StatusID]],status!A:B,2,)</f>
        <v>Concluído</v>
      </c>
    </row>
    <row r="60" spans="1:12" x14ac:dyDescent="0.25">
      <c r="A60">
        <v>59</v>
      </c>
      <c r="B60" s="1" t="s">
        <v>68</v>
      </c>
      <c r="C60">
        <v>3</v>
      </c>
      <c r="D60">
        <v>5</v>
      </c>
      <c r="E60">
        <v>3</v>
      </c>
      <c r="F60">
        <v>2</v>
      </c>
      <c r="G60">
        <v>7</v>
      </c>
      <c r="H60" s="2">
        <v>45770</v>
      </c>
      <c r="I60" s="2">
        <v>45790</v>
      </c>
      <c r="J60" s="2">
        <v>45783</v>
      </c>
      <c r="K60" s="2" t="str">
        <f>_xlfn.XLOOKUP(demandas[[#This Row],[SquadID]],squads!A:A,squads!B:B,)</f>
        <v>Squad Onboarding</v>
      </c>
      <c r="L60" s="2" t="str">
        <f>VLOOKUP(demandas[[#This Row],[StatusID]],status!A:B,2,)</f>
        <v>Cancelado</v>
      </c>
    </row>
    <row r="61" spans="1:12" x14ac:dyDescent="0.25">
      <c r="A61">
        <v>60</v>
      </c>
      <c r="B61" s="1" t="s">
        <v>69</v>
      </c>
      <c r="C61">
        <v>5</v>
      </c>
      <c r="D61">
        <v>1</v>
      </c>
      <c r="E61">
        <v>1</v>
      </c>
      <c r="F61">
        <v>3</v>
      </c>
      <c r="G61">
        <v>13</v>
      </c>
      <c r="H61" s="2">
        <v>45764</v>
      </c>
      <c r="I61" s="2">
        <v>45769</v>
      </c>
      <c r="J61" s="2"/>
      <c r="K61" s="2" t="str">
        <f>_xlfn.XLOOKUP(demandas[[#This Row],[SquadID]],squads!A:A,squads!B:B,)</f>
        <v>Squad Dados</v>
      </c>
      <c r="L61" s="2" t="str">
        <f>VLOOKUP(demandas[[#This Row],[StatusID]],status!A:B,2,)</f>
        <v>Aberto</v>
      </c>
    </row>
    <row r="62" spans="1:12" x14ac:dyDescent="0.25">
      <c r="A62">
        <v>61</v>
      </c>
      <c r="B62" s="1" t="s">
        <v>70</v>
      </c>
      <c r="C62">
        <v>3</v>
      </c>
      <c r="D62">
        <v>3</v>
      </c>
      <c r="E62">
        <v>3</v>
      </c>
      <c r="F62">
        <v>2</v>
      </c>
      <c r="G62">
        <v>8</v>
      </c>
      <c r="H62" s="2">
        <v>45576</v>
      </c>
      <c r="I62" s="2">
        <v>45600</v>
      </c>
      <c r="J62" s="2">
        <v>45577</v>
      </c>
      <c r="K62" s="2" t="str">
        <f>_xlfn.XLOOKUP(demandas[[#This Row],[SquadID]],squads!A:A,squads!B:B,)</f>
        <v>Squad Onboarding</v>
      </c>
      <c r="L62" s="2" t="str">
        <f>VLOOKUP(demandas[[#This Row],[StatusID]],status!A:B,2,)</f>
        <v>Concluído</v>
      </c>
    </row>
    <row r="63" spans="1:12" x14ac:dyDescent="0.25">
      <c r="A63">
        <v>62</v>
      </c>
      <c r="B63" s="1" t="s">
        <v>71</v>
      </c>
      <c r="C63">
        <v>5</v>
      </c>
      <c r="D63">
        <v>3</v>
      </c>
      <c r="E63">
        <v>4</v>
      </c>
      <c r="F63">
        <v>2</v>
      </c>
      <c r="G63">
        <v>15</v>
      </c>
      <c r="H63" s="2">
        <v>45362</v>
      </c>
      <c r="I63" s="2">
        <v>45390</v>
      </c>
      <c r="J63" s="2">
        <v>45394</v>
      </c>
      <c r="K63" s="2" t="str">
        <f>_xlfn.XLOOKUP(demandas[[#This Row],[SquadID]],squads!A:A,squads!B:B,)</f>
        <v>Squad Dados</v>
      </c>
      <c r="L63" s="2" t="str">
        <f>VLOOKUP(demandas[[#This Row],[StatusID]],status!A:B,2,)</f>
        <v>Concluído</v>
      </c>
    </row>
    <row r="64" spans="1:12" x14ac:dyDescent="0.25">
      <c r="A64">
        <v>63</v>
      </c>
      <c r="B64" s="1" t="s">
        <v>72</v>
      </c>
      <c r="C64">
        <v>1</v>
      </c>
      <c r="D64">
        <v>3</v>
      </c>
      <c r="E64">
        <v>2</v>
      </c>
      <c r="F64">
        <v>1</v>
      </c>
      <c r="G64">
        <v>3</v>
      </c>
      <c r="H64" s="2">
        <v>45409</v>
      </c>
      <c r="I64" s="2">
        <v>45420</v>
      </c>
      <c r="J64" s="2">
        <v>45415</v>
      </c>
      <c r="K64" s="2" t="str">
        <f>_xlfn.XLOOKUP(demandas[[#This Row],[SquadID]],squads!A:A,squads!B:B,)</f>
        <v>Squad Pagamentos</v>
      </c>
      <c r="L64" s="2" t="str">
        <f>VLOOKUP(demandas[[#This Row],[StatusID]],status!A:B,2,)</f>
        <v>Concluído</v>
      </c>
    </row>
    <row r="65" spans="1:12" x14ac:dyDescent="0.25">
      <c r="A65">
        <v>64</v>
      </c>
      <c r="B65" s="1" t="s">
        <v>73</v>
      </c>
      <c r="C65">
        <v>5</v>
      </c>
      <c r="D65">
        <v>3</v>
      </c>
      <c r="E65">
        <v>4</v>
      </c>
      <c r="F65">
        <v>4</v>
      </c>
      <c r="G65">
        <v>13</v>
      </c>
      <c r="H65" s="2">
        <v>45610</v>
      </c>
      <c r="I65" s="2">
        <v>45639</v>
      </c>
      <c r="J65" s="2">
        <v>45649</v>
      </c>
      <c r="K65" s="2" t="str">
        <f>_xlfn.XLOOKUP(demandas[[#This Row],[SquadID]],squads!A:A,squads!B:B,)</f>
        <v>Squad Dados</v>
      </c>
      <c r="L65" s="2" t="str">
        <f>VLOOKUP(demandas[[#This Row],[StatusID]],status!A:B,2,)</f>
        <v>Concluído</v>
      </c>
    </row>
    <row r="66" spans="1:12" x14ac:dyDescent="0.25">
      <c r="A66">
        <v>65</v>
      </c>
      <c r="B66" s="1" t="s">
        <v>74</v>
      </c>
      <c r="C66">
        <v>7</v>
      </c>
      <c r="D66">
        <v>2</v>
      </c>
      <c r="E66">
        <v>3</v>
      </c>
      <c r="F66">
        <v>5</v>
      </c>
      <c r="G66">
        <v>19</v>
      </c>
      <c r="H66" s="2">
        <v>45369</v>
      </c>
      <c r="I66" s="2">
        <v>45390</v>
      </c>
      <c r="J66" s="2"/>
      <c r="K66" s="2" t="str">
        <f>_xlfn.XLOOKUP(demandas[[#This Row],[SquadID]],squads!A:A,squads!B:B,)</f>
        <v>Squad Experiência</v>
      </c>
      <c r="L66" s="2" t="str">
        <f>VLOOKUP(demandas[[#This Row],[StatusID]],status!A:B,2,)</f>
        <v>Em Andamento</v>
      </c>
    </row>
    <row r="67" spans="1:12" x14ac:dyDescent="0.25">
      <c r="A67">
        <v>66</v>
      </c>
      <c r="B67" s="1" t="s">
        <v>75</v>
      </c>
      <c r="C67">
        <v>2</v>
      </c>
      <c r="D67">
        <v>3</v>
      </c>
      <c r="E67">
        <v>3</v>
      </c>
      <c r="F67">
        <v>4</v>
      </c>
      <c r="G67">
        <v>6</v>
      </c>
      <c r="H67" s="2">
        <v>45334</v>
      </c>
      <c r="I67" s="2">
        <v>45357</v>
      </c>
      <c r="J67" s="2">
        <v>45337</v>
      </c>
      <c r="K67" s="2" t="str">
        <f>_xlfn.XLOOKUP(demandas[[#This Row],[SquadID]],squads!A:A,squads!B:B,)</f>
        <v>Squad Crédito</v>
      </c>
      <c r="L67" s="2" t="str">
        <f>VLOOKUP(demandas[[#This Row],[StatusID]],status!A:B,2,)</f>
        <v>Concluído</v>
      </c>
    </row>
    <row r="68" spans="1:12" x14ac:dyDescent="0.25">
      <c r="A68">
        <v>67</v>
      </c>
      <c r="B68" s="1" t="s">
        <v>76</v>
      </c>
      <c r="C68">
        <v>5</v>
      </c>
      <c r="D68">
        <v>5</v>
      </c>
      <c r="E68">
        <v>1</v>
      </c>
      <c r="F68">
        <v>2</v>
      </c>
      <c r="G68">
        <v>14</v>
      </c>
      <c r="H68" s="2">
        <v>45400</v>
      </c>
      <c r="I68" s="2">
        <v>45409</v>
      </c>
      <c r="J68" s="2">
        <v>45408</v>
      </c>
      <c r="K68" s="2" t="str">
        <f>_xlfn.XLOOKUP(demandas[[#This Row],[SquadID]],squads!A:A,squads!B:B,)</f>
        <v>Squad Dados</v>
      </c>
      <c r="L68" s="2" t="str">
        <f>VLOOKUP(demandas[[#This Row],[StatusID]],status!A:B,2,)</f>
        <v>Cancelado</v>
      </c>
    </row>
    <row r="69" spans="1:12" x14ac:dyDescent="0.25">
      <c r="A69">
        <v>68</v>
      </c>
      <c r="B69" s="1" t="s">
        <v>77</v>
      </c>
      <c r="C69">
        <v>1</v>
      </c>
      <c r="D69">
        <v>3</v>
      </c>
      <c r="E69">
        <v>2</v>
      </c>
      <c r="F69">
        <v>3</v>
      </c>
      <c r="G69">
        <v>3</v>
      </c>
      <c r="H69" s="2">
        <v>45568</v>
      </c>
      <c r="I69" s="2">
        <v>45583</v>
      </c>
      <c r="J69" s="2">
        <v>45593</v>
      </c>
      <c r="K69" s="2" t="str">
        <f>_xlfn.XLOOKUP(demandas[[#This Row],[SquadID]],squads!A:A,squads!B:B,)</f>
        <v>Squad Pagamentos</v>
      </c>
      <c r="L69" s="2" t="str">
        <f>VLOOKUP(demandas[[#This Row],[StatusID]],status!A:B,2,)</f>
        <v>Concluído</v>
      </c>
    </row>
    <row r="70" spans="1:12" x14ac:dyDescent="0.25">
      <c r="A70">
        <v>69</v>
      </c>
      <c r="B70" s="1" t="s">
        <v>78</v>
      </c>
      <c r="C70">
        <v>3</v>
      </c>
      <c r="D70">
        <v>3</v>
      </c>
      <c r="E70">
        <v>2</v>
      </c>
      <c r="F70">
        <v>5</v>
      </c>
      <c r="G70">
        <v>8</v>
      </c>
      <c r="H70" s="2">
        <v>45753</v>
      </c>
      <c r="I70" s="2">
        <v>45764</v>
      </c>
      <c r="J70" s="2">
        <v>45764</v>
      </c>
      <c r="K70" s="2" t="str">
        <f>_xlfn.XLOOKUP(demandas[[#This Row],[SquadID]],squads!A:A,squads!B:B,)</f>
        <v>Squad Onboarding</v>
      </c>
      <c r="L70" s="2" t="str">
        <f>VLOOKUP(demandas[[#This Row],[StatusID]],status!A:B,2,)</f>
        <v>Concluído</v>
      </c>
    </row>
    <row r="71" spans="1:12" x14ac:dyDescent="0.25">
      <c r="A71">
        <v>70</v>
      </c>
      <c r="B71" s="1" t="s">
        <v>79</v>
      </c>
      <c r="C71">
        <v>3</v>
      </c>
      <c r="D71">
        <v>3</v>
      </c>
      <c r="E71">
        <v>3</v>
      </c>
      <c r="F71">
        <v>2</v>
      </c>
      <c r="G71">
        <v>8</v>
      </c>
      <c r="H71" s="2">
        <v>45509</v>
      </c>
      <c r="I71" s="2">
        <v>45532</v>
      </c>
      <c r="J71" s="2">
        <v>45529</v>
      </c>
      <c r="K71" s="2" t="str">
        <f>_xlfn.XLOOKUP(demandas[[#This Row],[SquadID]],squads!A:A,squads!B:B,)</f>
        <v>Squad Onboarding</v>
      </c>
      <c r="L71" s="2" t="str">
        <f>VLOOKUP(demandas[[#This Row],[StatusID]],status!A:B,2,)</f>
        <v>Concluído</v>
      </c>
    </row>
    <row r="72" spans="1:12" x14ac:dyDescent="0.25">
      <c r="A72">
        <v>71</v>
      </c>
      <c r="B72" s="1" t="s">
        <v>80</v>
      </c>
      <c r="C72">
        <v>7</v>
      </c>
      <c r="D72">
        <v>3</v>
      </c>
      <c r="E72">
        <v>3</v>
      </c>
      <c r="F72">
        <v>3</v>
      </c>
      <c r="G72">
        <v>19</v>
      </c>
      <c r="H72" s="2">
        <v>45379</v>
      </c>
      <c r="I72" s="2">
        <v>45400</v>
      </c>
      <c r="J72" s="2">
        <v>45387</v>
      </c>
      <c r="K72" s="2" t="str">
        <f>_xlfn.XLOOKUP(demandas[[#This Row],[SquadID]],squads!A:A,squads!B:B,)</f>
        <v>Squad Experiência</v>
      </c>
      <c r="L72" s="2" t="str">
        <f>VLOOKUP(demandas[[#This Row],[StatusID]],status!A:B,2,)</f>
        <v>Concluído</v>
      </c>
    </row>
    <row r="73" spans="1:12" x14ac:dyDescent="0.25">
      <c r="A73">
        <v>72</v>
      </c>
      <c r="B73" s="1" t="s">
        <v>81</v>
      </c>
      <c r="C73">
        <v>4</v>
      </c>
      <c r="D73">
        <v>3</v>
      </c>
      <c r="E73">
        <v>3</v>
      </c>
      <c r="F73">
        <v>2</v>
      </c>
      <c r="G73">
        <v>10</v>
      </c>
      <c r="H73" s="2">
        <v>45387</v>
      </c>
      <c r="I73" s="2">
        <v>45409</v>
      </c>
      <c r="J73" s="2">
        <v>45397</v>
      </c>
      <c r="K73" s="2" t="str">
        <f>_xlfn.XLOOKUP(demandas[[#This Row],[SquadID]],squads!A:A,squads!B:B,)</f>
        <v>Squad Segurança</v>
      </c>
      <c r="L73" s="2" t="str">
        <f>VLOOKUP(demandas[[#This Row],[StatusID]],status!A:B,2,)</f>
        <v>Concluído</v>
      </c>
    </row>
    <row r="74" spans="1:12" x14ac:dyDescent="0.25">
      <c r="A74">
        <v>73</v>
      </c>
      <c r="B74" s="1" t="s">
        <v>82</v>
      </c>
      <c r="C74">
        <v>5</v>
      </c>
      <c r="D74">
        <v>3</v>
      </c>
      <c r="E74">
        <v>3</v>
      </c>
      <c r="F74">
        <v>3</v>
      </c>
      <c r="G74">
        <v>14</v>
      </c>
      <c r="H74" s="2">
        <v>45630</v>
      </c>
      <c r="I74" s="2">
        <v>45653</v>
      </c>
      <c r="J74" s="2">
        <v>45639</v>
      </c>
      <c r="K74" s="2" t="str">
        <f>_xlfn.XLOOKUP(demandas[[#This Row],[SquadID]],squads!A:A,squads!B:B,)</f>
        <v>Squad Dados</v>
      </c>
      <c r="L74" s="2" t="str">
        <f>VLOOKUP(demandas[[#This Row],[StatusID]],status!A:B,2,)</f>
        <v>Concluído</v>
      </c>
    </row>
    <row r="75" spans="1:12" x14ac:dyDescent="0.25">
      <c r="A75">
        <v>74</v>
      </c>
      <c r="B75" s="1" t="s">
        <v>83</v>
      </c>
      <c r="C75">
        <v>1</v>
      </c>
      <c r="D75">
        <v>3</v>
      </c>
      <c r="E75">
        <v>2</v>
      </c>
      <c r="F75">
        <v>1</v>
      </c>
      <c r="G75">
        <v>3</v>
      </c>
      <c r="H75" s="2">
        <v>45481</v>
      </c>
      <c r="I75" s="2">
        <v>45492</v>
      </c>
      <c r="J75" s="2">
        <v>45491</v>
      </c>
      <c r="K75" s="2" t="str">
        <f>_xlfn.XLOOKUP(demandas[[#This Row],[SquadID]],squads!A:A,squads!B:B,)</f>
        <v>Squad Pagamentos</v>
      </c>
      <c r="L75" s="2" t="str">
        <f>VLOOKUP(demandas[[#This Row],[StatusID]],status!A:B,2,)</f>
        <v>Concluído</v>
      </c>
    </row>
    <row r="76" spans="1:12" x14ac:dyDescent="0.25">
      <c r="A76">
        <v>75</v>
      </c>
      <c r="B76" s="1" t="s">
        <v>84</v>
      </c>
      <c r="C76">
        <v>5</v>
      </c>
      <c r="D76">
        <v>3</v>
      </c>
      <c r="E76">
        <v>2</v>
      </c>
      <c r="F76">
        <v>1</v>
      </c>
      <c r="G76">
        <v>13</v>
      </c>
      <c r="H76" s="2">
        <v>45595</v>
      </c>
      <c r="I76" s="2">
        <v>45606</v>
      </c>
      <c r="J76" s="2">
        <v>45604</v>
      </c>
      <c r="K76" s="2" t="str">
        <f>_xlfn.XLOOKUP(demandas[[#This Row],[SquadID]],squads!A:A,squads!B:B,)</f>
        <v>Squad Dados</v>
      </c>
      <c r="L76" s="2" t="str">
        <f>VLOOKUP(demandas[[#This Row],[StatusID]],status!A:B,2,)</f>
        <v>Concluído</v>
      </c>
    </row>
    <row r="77" spans="1:12" x14ac:dyDescent="0.25">
      <c r="A77">
        <v>76</v>
      </c>
      <c r="B77" s="1" t="s">
        <v>85</v>
      </c>
      <c r="C77">
        <v>2</v>
      </c>
      <c r="D77">
        <v>2</v>
      </c>
      <c r="E77">
        <v>4</v>
      </c>
      <c r="F77">
        <v>3</v>
      </c>
      <c r="G77">
        <v>6</v>
      </c>
      <c r="H77" s="2">
        <v>45421</v>
      </c>
      <c r="I77" s="2">
        <v>45456</v>
      </c>
      <c r="J77" s="2"/>
      <c r="K77" s="2" t="str">
        <f>_xlfn.XLOOKUP(demandas[[#This Row],[SquadID]],squads!A:A,squads!B:B,)</f>
        <v>Squad Crédito</v>
      </c>
      <c r="L77" s="2" t="str">
        <f>VLOOKUP(demandas[[#This Row],[StatusID]],status!A:B,2,)</f>
        <v>Em Andamento</v>
      </c>
    </row>
    <row r="78" spans="1:12" x14ac:dyDescent="0.25">
      <c r="A78">
        <v>77</v>
      </c>
      <c r="B78" s="1" t="s">
        <v>86</v>
      </c>
      <c r="C78">
        <v>5</v>
      </c>
      <c r="D78">
        <v>5</v>
      </c>
      <c r="E78">
        <v>3</v>
      </c>
      <c r="F78">
        <v>2</v>
      </c>
      <c r="G78">
        <v>13</v>
      </c>
      <c r="H78" s="2">
        <v>45344</v>
      </c>
      <c r="I78" s="2">
        <v>45366</v>
      </c>
      <c r="J78" s="2">
        <v>45347</v>
      </c>
      <c r="K78" s="2" t="str">
        <f>_xlfn.XLOOKUP(demandas[[#This Row],[SquadID]],squads!A:A,squads!B:B,)</f>
        <v>Squad Dados</v>
      </c>
      <c r="L78" s="2" t="str">
        <f>VLOOKUP(demandas[[#This Row],[StatusID]],status!A:B,2,)</f>
        <v>Cancelado</v>
      </c>
    </row>
    <row r="79" spans="1:12" x14ac:dyDescent="0.25">
      <c r="A79">
        <v>78</v>
      </c>
      <c r="B79" s="1" t="s">
        <v>87</v>
      </c>
      <c r="C79">
        <v>4</v>
      </c>
      <c r="D79">
        <v>2</v>
      </c>
      <c r="E79">
        <v>3</v>
      </c>
      <c r="F79">
        <v>4</v>
      </c>
      <c r="G79">
        <v>10</v>
      </c>
      <c r="H79" s="2">
        <v>45444</v>
      </c>
      <c r="I79" s="2">
        <v>45466</v>
      </c>
      <c r="J79" s="2"/>
      <c r="K79" s="2" t="str">
        <f>_xlfn.XLOOKUP(demandas[[#This Row],[SquadID]],squads!A:A,squads!B:B,)</f>
        <v>Squad Segurança</v>
      </c>
      <c r="L79" s="2" t="str">
        <f>VLOOKUP(demandas[[#This Row],[StatusID]],status!A:B,2,)</f>
        <v>Em Andamento</v>
      </c>
    </row>
    <row r="80" spans="1:12" x14ac:dyDescent="0.25">
      <c r="A80">
        <v>79</v>
      </c>
      <c r="B80" s="1" t="s">
        <v>88</v>
      </c>
      <c r="C80">
        <v>1</v>
      </c>
      <c r="D80">
        <v>3</v>
      </c>
      <c r="E80">
        <v>3</v>
      </c>
      <c r="F80">
        <v>3</v>
      </c>
      <c r="G80">
        <v>3</v>
      </c>
      <c r="H80" s="2">
        <v>45523</v>
      </c>
      <c r="I80" s="2">
        <v>45547</v>
      </c>
      <c r="J80" s="2">
        <v>45542</v>
      </c>
      <c r="K80" s="2" t="str">
        <f>_xlfn.XLOOKUP(demandas[[#This Row],[SquadID]],squads!A:A,squads!B:B,)</f>
        <v>Squad Pagamentos</v>
      </c>
      <c r="L80" s="2" t="str">
        <f>VLOOKUP(demandas[[#This Row],[StatusID]],status!A:B,2,)</f>
        <v>Concluído</v>
      </c>
    </row>
    <row r="81" spans="1:12" x14ac:dyDescent="0.25">
      <c r="A81">
        <v>80</v>
      </c>
      <c r="B81" s="1" t="s">
        <v>89</v>
      </c>
      <c r="C81">
        <v>2</v>
      </c>
      <c r="D81">
        <v>3</v>
      </c>
      <c r="E81">
        <v>3</v>
      </c>
      <c r="F81">
        <v>3</v>
      </c>
      <c r="G81">
        <v>6</v>
      </c>
      <c r="H81" s="2">
        <v>45393</v>
      </c>
      <c r="I81" s="2">
        <v>45414</v>
      </c>
      <c r="J81" s="2">
        <v>45396</v>
      </c>
      <c r="K81" s="2" t="str">
        <f>_xlfn.XLOOKUP(demandas[[#This Row],[SquadID]],squads!A:A,squads!B:B,)</f>
        <v>Squad Crédito</v>
      </c>
      <c r="L81" s="2" t="str">
        <f>VLOOKUP(demandas[[#This Row],[StatusID]],status!A:B,2,)</f>
        <v>Concluído</v>
      </c>
    </row>
    <row r="82" spans="1:12" x14ac:dyDescent="0.25">
      <c r="A82">
        <v>81</v>
      </c>
      <c r="B82" s="1" t="s">
        <v>90</v>
      </c>
      <c r="C82">
        <v>2</v>
      </c>
      <c r="D82">
        <v>2</v>
      </c>
      <c r="E82">
        <v>3</v>
      </c>
      <c r="F82">
        <v>1</v>
      </c>
      <c r="G82">
        <v>5</v>
      </c>
      <c r="H82" s="2">
        <v>45753</v>
      </c>
      <c r="I82" s="2">
        <v>45778</v>
      </c>
      <c r="J82" s="2"/>
      <c r="K82" s="2" t="str">
        <f>_xlfn.XLOOKUP(demandas[[#This Row],[SquadID]],squads!A:A,squads!B:B,)</f>
        <v>Squad Crédito</v>
      </c>
      <c r="L82" s="2" t="str">
        <f>VLOOKUP(demandas[[#This Row],[StatusID]],status!A:B,2,)</f>
        <v>Em Andamento</v>
      </c>
    </row>
    <row r="83" spans="1:12" x14ac:dyDescent="0.25">
      <c r="A83">
        <v>82</v>
      </c>
      <c r="B83" s="1" t="s">
        <v>91</v>
      </c>
      <c r="C83">
        <v>2</v>
      </c>
      <c r="D83">
        <v>3</v>
      </c>
      <c r="E83">
        <v>2</v>
      </c>
      <c r="F83">
        <v>5</v>
      </c>
      <c r="G83">
        <v>4</v>
      </c>
      <c r="H83" s="2">
        <v>45531</v>
      </c>
      <c r="I83" s="2">
        <v>45543</v>
      </c>
      <c r="J83" s="2">
        <v>45542</v>
      </c>
      <c r="K83" s="2" t="str">
        <f>_xlfn.XLOOKUP(demandas[[#This Row],[SquadID]],squads!A:A,squads!B:B,)</f>
        <v>Squad Crédito</v>
      </c>
      <c r="L83" s="2" t="str">
        <f>VLOOKUP(demandas[[#This Row],[StatusID]],status!A:B,2,)</f>
        <v>Concluído</v>
      </c>
    </row>
    <row r="84" spans="1:12" x14ac:dyDescent="0.25">
      <c r="A84">
        <v>83</v>
      </c>
      <c r="B84" s="1" t="s">
        <v>92</v>
      </c>
      <c r="C84">
        <v>7</v>
      </c>
      <c r="D84">
        <v>3</v>
      </c>
      <c r="E84">
        <v>3</v>
      </c>
      <c r="F84">
        <v>3</v>
      </c>
      <c r="G84">
        <v>21</v>
      </c>
      <c r="H84" s="2">
        <v>45444</v>
      </c>
      <c r="I84" s="2">
        <v>45466</v>
      </c>
      <c r="J84" s="2">
        <v>45450</v>
      </c>
      <c r="K84" s="2" t="str">
        <f>_xlfn.XLOOKUP(demandas[[#This Row],[SquadID]],squads!A:A,squads!B:B,)</f>
        <v>Squad Experiência</v>
      </c>
      <c r="L84" s="2" t="str">
        <f>VLOOKUP(demandas[[#This Row],[StatusID]],status!A:B,2,)</f>
        <v>Concluído</v>
      </c>
    </row>
    <row r="85" spans="1:12" x14ac:dyDescent="0.25">
      <c r="A85">
        <v>84</v>
      </c>
      <c r="B85" s="1" t="s">
        <v>93</v>
      </c>
      <c r="C85">
        <v>2</v>
      </c>
      <c r="D85">
        <v>3</v>
      </c>
      <c r="E85">
        <v>3</v>
      </c>
      <c r="F85">
        <v>3</v>
      </c>
      <c r="G85">
        <v>5</v>
      </c>
      <c r="H85" s="2">
        <v>45741</v>
      </c>
      <c r="I85" s="2">
        <v>45760</v>
      </c>
      <c r="J85" s="2">
        <v>45754</v>
      </c>
      <c r="K85" s="2" t="str">
        <f>_xlfn.XLOOKUP(demandas[[#This Row],[SquadID]],squads!A:A,squads!B:B,)</f>
        <v>Squad Crédito</v>
      </c>
      <c r="L85" s="2" t="str">
        <f>VLOOKUP(demandas[[#This Row],[StatusID]],status!A:B,2,)</f>
        <v>Concluído</v>
      </c>
    </row>
    <row r="86" spans="1:12" x14ac:dyDescent="0.25">
      <c r="A86">
        <v>85</v>
      </c>
      <c r="B86" s="1" t="s">
        <v>94</v>
      </c>
      <c r="C86">
        <v>5</v>
      </c>
      <c r="D86">
        <v>3</v>
      </c>
      <c r="E86">
        <v>3</v>
      </c>
      <c r="F86">
        <v>1</v>
      </c>
      <c r="G86">
        <v>13</v>
      </c>
      <c r="H86" s="2">
        <v>45734</v>
      </c>
      <c r="I86" s="2">
        <v>45757</v>
      </c>
      <c r="J86" s="2">
        <v>45742</v>
      </c>
      <c r="K86" s="2" t="str">
        <f>_xlfn.XLOOKUP(demandas[[#This Row],[SquadID]],squads!A:A,squads!B:B,)</f>
        <v>Squad Dados</v>
      </c>
      <c r="L86" s="2" t="str">
        <f>VLOOKUP(demandas[[#This Row],[StatusID]],status!A:B,2,)</f>
        <v>Concluído</v>
      </c>
    </row>
    <row r="87" spans="1:12" x14ac:dyDescent="0.25">
      <c r="A87">
        <v>86</v>
      </c>
      <c r="B87" s="1" t="s">
        <v>95</v>
      </c>
      <c r="C87">
        <v>7</v>
      </c>
      <c r="D87">
        <v>3</v>
      </c>
      <c r="E87">
        <v>3</v>
      </c>
      <c r="F87">
        <v>6</v>
      </c>
      <c r="G87">
        <v>21</v>
      </c>
      <c r="H87" s="2">
        <v>45567</v>
      </c>
      <c r="I87" s="2">
        <v>45585</v>
      </c>
      <c r="J87" s="2">
        <v>45584</v>
      </c>
      <c r="K87" s="2" t="str">
        <f>_xlfn.XLOOKUP(demandas[[#This Row],[SquadID]],squads!A:A,squads!B:B,)</f>
        <v>Squad Experiência</v>
      </c>
      <c r="L87" s="2" t="str">
        <f>VLOOKUP(demandas[[#This Row],[StatusID]],status!A:B,2,)</f>
        <v>Concluído</v>
      </c>
    </row>
    <row r="88" spans="1:12" x14ac:dyDescent="0.25">
      <c r="A88">
        <v>87</v>
      </c>
      <c r="B88" s="1" t="s">
        <v>96</v>
      </c>
      <c r="C88">
        <v>4</v>
      </c>
      <c r="D88">
        <v>3</v>
      </c>
      <c r="E88">
        <v>2</v>
      </c>
      <c r="F88">
        <v>6</v>
      </c>
      <c r="G88">
        <v>11</v>
      </c>
      <c r="H88" s="2">
        <v>45795</v>
      </c>
      <c r="I88" s="2">
        <v>45804</v>
      </c>
      <c r="J88" s="2">
        <v>45801</v>
      </c>
      <c r="K88" s="2" t="str">
        <f>_xlfn.XLOOKUP(demandas[[#This Row],[SquadID]],squads!A:A,squads!B:B,)</f>
        <v>Squad Segurança</v>
      </c>
      <c r="L88" s="2" t="str">
        <f>VLOOKUP(demandas[[#This Row],[StatusID]],status!A:B,2,)</f>
        <v>Concluído</v>
      </c>
    </row>
    <row r="89" spans="1:12" x14ac:dyDescent="0.25">
      <c r="A89">
        <v>88</v>
      </c>
      <c r="B89" s="1" t="s">
        <v>97</v>
      </c>
      <c r="C89">
        <v>1</v>
      </c>
      <c r="D89">
        <v>3</v>
      </c>
      <c r="E89">
        <v>2</v>
      </c>
      <c r="F89">
        <v>2</v>
      </c>
      <c r="G89">
        <v>2</v>
      </c>
      <c r="H89" s="2">
        <v>45587</v>
      </c>
      <c r="I89" s="2">
        <v>45601</v>
      </c>
      <c r="J89" s="2">
        <v>45595</v>
      </c>
      <c r="K89" s="2" t="str">
        <f>_xlfn.XLOOKUP(demandas[[#This Row],[SquadID]],squads!A:A,squads!B:B,)</f>
        <v>Squad Pagamentos</v>
      </c>
      <c r="L89" s="2" t="str">
        <f>VLOOKUP(demandas[[#This Row],[StatusID]],status!A:B,2,)</f>
        <v>Concluído</v>
      </c>
    </row>
    <row r="90" spans="1:12" x14ac:dyDescent="0.25">
      <c r="A90">
        <v>89</v>
      </c>
      <c r="B90" s="1" t="s">
        <v>98</v>
      </c>
      <c r="C90">
        <v>3</v>
      </c>
      <c r="D90">
        <v>2</v>
      </c>
      <c r="E90">
        <v>2</v>
      </c>
      <c r="F90">
        <v>6</v>
      </c>
      <c r="G90">
        <v>8</v>
      </c>
      <c r="H90" s="2">
        <v>45818</v>
      </c>
      <c r="I90" s="2">
        <v>45826</v>
      </c>
      <c r="J90" s="2"/>
      <c r="K90" s="2" t="str">
        <f>_xlfn.XLOOKUP(demandas[[#This Row],[SquadID]],squads!A:A,squads!B:B,)</f>
        <v>Squad Onboarding</v>
      </c>
      <c r="L90" s="2" t="str">
        <f>VLOOKUP(demandas[[#This Row],[StatusID]],status!A:B,2,)</f>
        <v>Em Andamento</v>
      </c>
    </row>
    <row r="91" spans="1:12" x14ac:dyDescent="0.25">
      <c r="A91">
        <v>90</v>
      </c>
      <c r="B91" s="1" t="s">
        <v>99</v>
      </c>
      <c r="C91">
        <v>4</v>
      </c>
      <c r="D91">
        <v>3</v>
      </c>
      <c r="E91">
        <v>1</v>
      </c>
      <c r="F91">
        <v>3</v>
      </c>
      <c r="G91">
        <v>12</v>
      </c>
      <c r="H91" s="2">
        <v>45802</v>
      </c>
      <c r="I91" s="2">
        <v>45812</v>
      </c>
      <c r="J91" s="2">
        <v>45811</v>
      </c>
      <c r="K91" s="2" t="str">
        <f>_xlfn.XLOOKUP(demandas[[#This Row],[SquadID]],squads!A:A,squads!B:B,)</f>
        <v>Squad Segurança</v>
      </c>
      <c r="L91" s="2" t="str">
        <f>VLOOKUP(demandas[[#This Row],[StatusID]],status!A:B,2,)</f>
        <v>Concluído</v>
      </c>
    </row>
    <row r="92" spans="1:12" x14ac:dyDescent="0.25">
      <c r="A92">
        <v>91</v>
      </c>
      <c r="B92" s="1" t="s">
        <v>100</v>
      </c>
      <c r="C92">
        <v>7</v>
      </c>
      <c r="D92">
        <v>3</v>
      </c>
      <c r="E92">
        <v>3</v>
      </c>
      <c r="F92">
        <v>4</v>
      </c>
      <c r="G92">
        <v>19</v>
      </c>
      <c r="H92" s="2">
        <v>45321</v>
      </c>
      <c r="I92" s="2">
        <v>45342</v>
      </c>
      <c r="J92" s="2">
        <v>45322</v>
      </c>
      <c r="K92" s="2" t="str">
        <f>_xlfn.XLOOKUP(demandas[[#This Row],[SquadID]],squads!A:A,squads!B:B,)</f>
        <v>Squad Experiência</v>
      </c>
      <c r="L92" s="2" t="str">
        <f>VLOOKUP(demandas[[#This Row],[StatusID]],status!A:B,2,)</f>
        <v>Concluído</v>
      </c>
    </row>
    <row r="93" spans="1:12" x14ac:dyDescent="0.25">
      <c r="A93">
        <v>92</v>
      </c>
      <c r="B93" s="1" t="s">
        <v>101</v>
      </c>
      <c r="C93">
        <v>3</v>
      </c>
      <c r="D93">
        <v>3</v>
      </c>
      <c r="E93">
        <v>2</v>
      </c>
      <c r="F93">
        <v>4</v>
      </c>
      <c r="G93">
        <v>7</v>
      </c>
      <c r="H93" s="2">
        <v>45764</v>
      </c>
      <c r="I93" s="2">
        <v>45773</v>
      </c>
      <c r="J93" s="2">
        <v>45769</v>
      </c>
      <c r="K93" s="2" t="str">
        <f>_xlfn.XLOOKUP(demandas[[#This Row],[SquadID]],squads!A:A,squads!B:B,)</f>
        <v>Squad Onboarding</v>
      </c>
      <c r="L93" s="2" t="str">
        <f>VLOOKUP(demandas[[#This Row],[StatusID]],status!A:B,2,)</f>
        <v>Concluído</v>
      </c>
    </row>
    <row r="94" spans="1:12" x14ac:dyDescent="0.25">
      <c r="A94">
        <v>93</v>
      </c>
      <c r="B94" s="1" t="s">
        <v>102</v>
      </c>
      <c r="C94">
        <v>6</v>
      </c>
      <c r="D94">
        <v>3</v>
      </c>
      <c r="E94">
        <v>3</v>
      </c>
      <c r="F94">
        <v>3</v>
      </c>
      <c r="G94">
        <v>17</v>
      </c>
      <c r="H94" s="2">
        <v>45541</v>
      </c>
      <c r="I94" s="2">
        <v>45566</v>
      </c>
      <c r="J94" s="2">
        <v>45561</v>
      </c>
      <c r="K94" s="2" t="str">
        <f>_xlfn.XLOOKUP(demandas[[#This Row],[SquadID]],squads!A:A,squads!B:B,)</f>
        <v>Squad Integrações</v>
      </c>
      <c r="L94" s="2" t="str">
        <f>VLOOKUP(demandas[[#This Row],[StatusID]],status!A:B,2,)</f>
        <v>Concluído</v>
      </c>
    </row>
    <row r="95" spans="1:12" x14ac:dyDescent="0.25">
      <c r="A95">
        <v>94</v>
      </c>
      <c r="B95" s="1" t="s">
        <v>103</v>
      </c>
      <c r="C95">
        <v>6</v>
      </c>
      <c r="D95">
        <v>3</v>
      </c>
      <c r="E95">
        <v>2</v>
      </c>
      <c r="F95">
        <v>1</v>
      </c>
      <c r="G95">
        <v>17</v>
      </c>
      <c r="H95" s="2">
        <v>45640</v>
      </c>
      <c r="I95" s="2">
        <v>45652</v>
      </c>
      <c r="J95" s="2">
        <v>45645</v>
      </c>
      <c r="K95" s="2" t="str">
        <f>_xlfn.XLOOKUP(demandas[[#This Row],[SquadID]],squads!A:A,squads!B:B,)</f>
        <v>Squad Integrações</v>
      </c>
      <c r="L95" s="2" t="str">
        <f>VLOOKUP(demandas[[#This Row],[StatusID]],status!A:B,2,)</f>
        <v>Concluído</v>
      </c>
    </row>
    <row r="96" spans="1:12" x14ac:dyDescent="0.25">
      <c r="A96">
        <v>95</v>
      </c>
      <c r="B96" s="1" t="s">
        <v>104</v>
      </c>
      <c r="C96">
        <v>5</v>
      </c>
      <c r="D96">
        <v>2</v>
      </c>
      <c r="E96">
        <v>4</v>
      </c>
      <c r="F96">
        <v>3</v>
      </c>
      <c r="G96">
        <v>13</v>
      </c>
      <c r="H96" s="2">
        <v>45749</v>
      </c>
      <c r="I96" s="2">
        <v>45784</v>
      </c>
      <c r="J96" s="2"/>
      <c r="K96" s="2" t="str">
        <f>_xlfn.XLOOKUP(demandas[[#This Row],[SquadID]],squads!A:A,squads!B:B,)</f>
        <v>Squad Dados</v>
      </c>
      <c r="L96" s="2" t="str">
        <f>VLOOKUP(demandas[[#This Row],[StatusID]],status!A:B,2,)</f>
        <v>Em Andamento</v>
      </c>
    </row>
    <row r="97" spans="1:12" x14ac:dyDescent="0.25">
      <c r="A97">
        <v>96</v>
      </c>
      <c r="B97" s="1" t="s">
        <v>105</v>
      </c>
      <c r="C97">
        <v>6</v>
      </c>
      <c r="D97">
        <v>3</v>
      </c>
      <c r="E97">
        <v>3</v>
      </c>
      <c r="F97">
        <v>5</v>
      </c>
      <c r="G97">
        <v>16</v>
      </c>
      <c r="H97" s="2">
        <v>45536</v>
      </c>
      <c r="I97" s="2">
        <v>45560</v>
      </c>
      <c r="J97" s="2">
        <v>45561</v>
      </c>
      <c r="K97" s="2" t="str">
        <f>_xlfn.XLOOKUP(demandas[[#This Row],[SquadID]],squads!A:A,squads!B:B,)</f>
        <v>Squad Integrações</v>
      </c>
      <c r="L97" s="2" t="str">
        <f>VLOOKUP(demandas[[#This Row],[StatusID]],status!A:B,2,)</f>
        <v>Concluído</v>
      </c>
    </row>
    <row r="98" spans="1:12" x14ac:dyDescent="0.25">
      <c r="A98">
        <v>97</v>
      </c>
      <c r="B98" s="1" t="s">
        <v>106</v>
      </c>
      <c r="C98">
        <v>6</v>
      </c>
      <c r="D98">
        <v>5</v>
      </c>
      <c r="E98">
        <v>3</v>
      </c>
      <c r="F98">
        <v>4</v>
      </c>
      <c r="G98">
        <v>17</v>
      </c>
      <c r="H98" s="2">
        <v>45447</v>
      </c>
      <c r="I98" s="2">
        <v>45472</v>
      </c>
      <c r="J98" s="2">
        <v>45466</v>
      </c>
      <c r="K98" s="2" t="str">
        <f>_xlfn.XLOOKUP(demandas[[#This Row],[SquadID]],squads!A:A,squads!B:B,)</f>
        <v>Squad Integrações</v>
      </c>
      <c r="L98" s="2" t="str">
        <f>VLOOKUP(demandas[[#This Row],[StatusID]],status!A:B,2,)</f>
        <v>Cancelado</v>
      </c>
    </row>
    <row r="99" spans="1:12" x14ac:dyDescent="0.25">
      <c r="A99">
        <v>98</v>
      </c>
      <c r="B99" s="1" t="s">
        <v>107</v>
      </c>
      <c r="C99">
        <v>7</v>
      </c>
      <c r="D99">
        <v>3</v>
      </c>
      <c r="E99">
        <v>4</v>
      </c>
      <c r="F99">
        <v>2</v>
      </c>
      <c r="G99">
        <v>21</v>
      </c>
      <c r="H99" s="2">
        <v>45759</v>
      </c>
      <c r="I99" s="2">
        <v>45787</v>
      </c>
      <c r="J99" s="2">
        <v>45780</v>
      </c>
      <c r="K99" s="2" t="str">
        <f>_xlfn.XLOOKUP(demandas[[#This Row],[SquadID]],squads!A:A,squads!B:B,)</f>
        <v>Squad Experiência</v>
      </c>
      <c r="L99" s="2" t="str">
        <f>VLOOKUP(demandas[[#This Row],[StatusID]],status!A:B,2,)</f>
        <v>Concluído</v>
      </c>
    </row>
    <row r="100" spans="1:12" x14ac:dyDescent="0.25">
      <c r="A100">
        <v>99</v>
      </c>
      <c r="B100" s="1" t="s">
        <v>108</v>
      </c>
      <c r="C100">
        <v>1</v>
      </c>
      <c r="D100">
        <v>4</v>
      </c>
      <c r="E100">
        <v>3</v>
      </c>
      <c r="F100">
        <v>1</v>
      </c>
      <c r="G100">
        <v>3</v>
      </c>
      <c r="H100" s="2">
        <v>45699</v>
      </c>
      <c r="I100" s="2">
        <v>45718</v>
      </c>
      <c r="J100" s="2"/>
      <c r="K100" s="2" t="str">
        <f>_xlfn.XLOOKUP(demandas[[#This Row],[SquadID]],squads!A:A,squads!B:B,)</f>
        <v>Squad Pagamentos</v>
      </c>
      <c r="L100" s="2" t="str">
        <f>VLOOKUP(demandas[[#This Row],[StatusID]],status!A:B,2,)</f>
        <v>Bloqueado</v>
      </c>
    </row>
    <row r="101" spans="1:12" x14ac:dyDescent="0.25">
      <c r="A101">
        <v>100</v>
      </c>
      <c r="B101" s="1" t="s">
        <v>109</v>
      </c>
      <c r="C101">
        <v>5</v>
      </c>
      <c r="D101">
        <v>3</v>
      </c>
      <c r="E101">
        <v>3</v>
      </c>
      <c r="F101">
        <v>6</v>
      </c>
      <c r="G101">
        <v>15</v>
      </c>
      <c r="H101" s="2">
        <v>45791</v>
      </c>
      <c r="I101" s="2">
        <v>45809</v>
      </c>
      <c r="J101" s="2">
        <v>45801</v>
      </c>
      <c r="K101" s="2" t="str">
        <f>_xlfn.XLOOKUP(demandas[[#This Row],[SquadID]],squads!A:A,squads!B:B,)</f>
        <v>Squad Dados</v>
      </c>
      <c r="L101" s="2" t="str">
        <f>VLOOKUP(demandas[[#This Row],[StatusID]],status!A:B,2,)</f>
        <v>Concluído</v>
      </c>
    </row>
    <row r="102" spans="1:12" x14ac:dyDescent="0.25">
      <c r="A102">
        <v>101</v>
      </c>
      <c r="B102" s="1" t="s">
        <v>110</v>
      </c>
      <c r="C102">
        <v>6</v>
      </c>
      <c r="D102">
        <v>3</v>
      </c>
      <c r="E102">
        <v>3</v>
      </c>
      <c r="F102">
        <v>1</v>
      </c>
      <c r="G102">
        <v>18</v>
      </c>
      <c r="H102" s="2">
        <v>45394</v>
      </c>
      <c r="I102" s="2">
        <v>45419</v>
      </c>
      <c r="J102" s="2">
        <v>45395</v>
      </c>
      <c r="K102" s="2" t="str">
        <f>_xlfn.XLOOKUP(demandas[[#This Row],[SquadID]],squads!A:A,squads!B:B,)</f>
        <v>Squad Integrações</v>
      </c>
      <c r="L102" s="2" t="str">
        <f>VLOOKUP(demandas[[#This Row],[StatusID]],status!A:B,2,)</f>
        <v>Concluído</v>
      </c>
    </row>
    <row r="103" spans="1:12" x14ac:dyDescent="0.25">
      <c r="A103">
        <v>102</v>
      </c>
      <c r="B103" s="1" t="s">
        <v>111</v>
      </c>
      <c r="C103">
        <v>3</v>
      </c>
      <c r="D103">
        <v>3</v>
      </c>
      <c r="E103">
        <v>1</v>
      </c>
      <c r="F103">
        <v>2</v>
      </c>
      <c r="G103">
        <v>8</v>
      </c>
      <c r="H103" s="2">
        <v>45441</v>
      </c>
      <c r="I103" s="2">
        <v>45447</v>
      </c>
      <c r="J103" s="2">
        <v>45443</v>
      </c>
      <c r="K103" s="2" t="str">
        <f>_xlfn.XLOOKUP(demandas[[#This Row],[SquadID]],squads!A:A,squads!B:B,)</f>
        <v>Squad Onboarding</v>
      </c>
      <c r="L103" s="2" t="str">
        <f>VLOOKUP(demandas[[#This Row],[StatusID]],status!A:B,2,)</f>
        <v>Concluído</v>
      </c>
    </row>
    <row r="104" spans="1:12" x14ac:dyDescent="0.25">
      <c r="A104">
        <v>103</v>
      </c>
      <c r="B104" s="1" t="s">
        <v>112</v>
      </c>
      <c r="C104">
        <v>1</v>
      </c>
      <c r="D104">
        <v>4</v>
      </c>
      <c r="E104">
        <v>3</v>
      </c>
      <c r="F104">
        <v>2</v>
      </c>
      <c r="G104">
        <v>3</v>
      </c>
      <c r="H104" s="2">
        <v>45538</v>
      </c>
      <c r="I104" s="2">
        <v>45563</v>
      </c>
      <c r="J104" s="2"/>
      <c r="K104" s="2" t="str">
        <f>_xlfn.XLOOKUP(demandas[[#This Row],[SquadID]],squads!A:A,squads!B:B,)</f>
        <v>Squad Pagamentos</v>
      </c>
      <c r="L104" s="2" t="str">
        <f>VLOOKUP(demandas[[#This Row],[StatusID]],status!A:B,2,)</f>
        <v>Bloqueado</v>
      </c>
    </row>
    <row r="105" spans="1:12" x14ac:dyDescent="0.25">
      <c r="A105">
        <v>104</v>
      </c>
      <c r="B105" s="1" t="s">
        <v>113</v>
      </c>
      <c r="C105">
        <v>2</v>
      </c>
      <c r="D105">
        <v>4</v>
      </c>
      <c r="E105">
        <v>3</v>
      </c>
      <c r="F105">
        <v>3</v>
      </c>
      <c r="G105">
        <v>6</v>
      </c>
      <c r="H105" s="2">
        <v>45301</v>
      </c>
      <c r="I105" s="2">
        <v>45326</v>
      </c>
      <c r="J105" s="2"/>
      <c r="K105" s="2" t="str">
        <f>_xlfn.XLOOKUP(demandas[[#This Row],[SquadID]],squads!A:A,squads!B:B,)</f>
        <v>Squad Crédito</v>
      </c>
      <c r="L105" s="2" t="str">
        <f>VLOOKUP(demandas[[#This Row],[StatusID]],status!A:B,2,)</f>
        <v>Bloqueado</v>
      </c>
    </row>
    <row r="106" spans="1:12" x14ac:dyDescent="0.25">
      <c r="A106">
        <v>105</v>
      </c>
      <c r="B106" s="1" t="s">
        <v>114</v>
      </c>
      <c r="C106">
        <v>5</v>
      </c>
      <c r="D106">
        <v>3</v>
      </c>
      <c r="E106">
        <v>1</v>
      </c>
      <c r="F106">
        <v>5</v>
      </c>
      <c r="G106">
        <v>15</v>
      </c>
      <c r="H106" s="2">
        <v>45598</v>
      </c>
      <c r="I106" s="2">
        <v>45607</v>
      </c>
      <c r="J106" s="2">
        <v>45603</v>
      </c>
      <c r="K106" s="2" t="str">
        <f>_xlfn.XLOOKUP(demandas[[#This Row],[SquadID]],squads!A:A,squads!B:B,)</f>
        <v>Squad Dados</v>
      </c>
      <c r="L106" s="2" t="str">
        <f>VLOOKUP(demandas[[#This Row],[StatusID]],status!A:B,2,)</f>
        <v>Concluído</v>
      </c>
    </row>
    <row r="107" spans="1:12" x14ac:dyDescent="0.25">
      <c r="A107">
        <v>106</v>
      </c>
      <c r="B107" s="1" t="s">
        <v>115</v>
      </c>
      <c r="C107">
        <v>8</v>
      </c>
      <c r="D107">
        <v>5</v>
      </c>
      <c r="E107">
        <v>4</v>
      </c>
      <c r="F107">
        <v>1</v>
      </c>
      <c r="G107">
        <v>23</v>
      </c>
      <c r="H107" s="2">
        <v>45659</v>
      </c>
      <c r="I107" s="2">
        <v>45691</v>
      </c>
      <c r="J107" s="2">
        <v>45685</v>
      </c>
      <c r="K107" s="2" t="str">
        <f>_xlfn.XLOOKUP(demandas[[#This Row],[SquadID]],squads!A:A,squads!B:B,)</f>
        <v>Squad Infraestrutura</v>
      </c>
      <c r="L107" s="2" t="str">
        <f>VLOOKUP(demandas[[#This Row],[StatusID]],status!A:B,2,)</f>
        <v>Cancelado</v>
      </c>
    </row>
    <row r="108" spans="1:12" x14ac:dyDescent="0.25">
      <c r="A108">
        <v>107</v>
      </c>
      <c r="B108" s="1" t="s">
        <v>116</v>
      </c>
      <c r="C108">
        <v>1</v>
      </c>
      <c r="D108">
        <v>3</v>
      </c>
      <c r="E108">
        <v>4</v>
      </c>
      <c r="F108">
        <v>4</v>
      </c>
      <c r="G108">
        <v>1</v>
      </c>
      <c r="H108" s="2">
        <v>45800</v>
      </c>
      <c r="I108" s="2">
        <v>45832</v>
      </c>
      <c r="J108" s="2">
        <v>45823</v>
      </c>
      <c r="K108" s="2" t="str">
        <f>_xlfn.XLOOKUP(demandas[[#This Row],[SquadID]],squads!A:A,squads!B:B,)</f>
        <v>Squad Pagamentos</v>
      </c>
      <c r="L108" s="2" t="str">
        <f>VLOOKUP(demandas[[#This Row],[StatusID]],status!A:B,2,)</f>
        <v>Concluído</v>
      </c>
    </row>
    <row r="109" spans="1:12" x14ac:dyDescent="0.25">
      <c r="A109">
        <v>108</v>
      </c>
      <c r="B109" s="1" t="s">
        <v>117</v>
      </c>
      <c r="C109">
        <v>5</v>
      </c>
      <c r="D109">
        <v>4</v>
      </c>
      <c r="E109">
        <v>3</v>
      </c>
      <c r="F109">
        <v>4</v>
      </c>
      <c r="G109">
        <v>15</v>
      </c>
      <c r="H109" s="2">
        <v>45432</v>
      </c>
      <c r="I109" s="2">
        <v>45451</v>
      </c>
      <c r="J109" s="2"/>
      <c r="K109" s="2" t="str">
        <f>_xlfn.XLOOKUP(demandas[[#This Row],[SquadID]],squads!A:A,squads!B:B,)</f>
        <v>Squad Dados</v>
      </c>
      <c r="L109" s="2" t="str">
        <f>VLOOKUP(demandas[[#This Row],[StatusID]],status!A:B,2,)</f>
        <v>Bloqueado</v>
      </c>
    </row>
    <row r="110" spans="1:12" x14ac:dyDescent="0.25">
      <c r="A110">
        <v>109</v>
      </c>
      <c r="B110" s="1" t="s">
        <v>118</v>
      </c>
      <c r="C110">
        <v>1</v>
      </c>
      <c r="D110">
        <v>4</v>
      </c>
      <c r="E110">
        <v>3</v>
      </c>
      <c r="F110">
        <v>1</v>
      </c>
      <c r="G110">
        <v>2</v>
      </c>
      <c r="H110" s="2">
        <v>45426</v>
      </c>
      <c r="I110" s="2">
        <v>45445</v>
      </c>
      <c r="J110" s="2"/>
      <c r="K110" s="2" t="str">
        <f>_xlfn.XLOOKUP(demandas[[#This Row],[SquadID]],squads!A:A,squads!B:B,)</f>
        <v>Squad Pagamentos</v>
      </c>
      <c r="L110" s="2" t="str">
        <f>VLOOKUP(demandas[[#This Row],[StatusID]],status!A:B,2,)</f>
        <v>Bloqueado</v>
      </c>
    </row>
    <row r="111" spans="1:12" x14ac:dyDescent="0.25">
      <c r="A111">
        <v>110</v>
      </c>
      <c r="B111" s="1" t="s">
        <v>119</v>
      </c>
      <c r="C111">
        <v>6</v>
      </c>
      <c r="D111">
        <v>3</v>
      </c>
      <c r="E111">
        <v>2</v>
      </c>
      <c r="F111">
        <v>1</v>
      </c>
      <c r="G111">
        <v>18</v>
      </c>
      <c r="H111" s="2">
        <v>45666</v>
      </c>
      <c r="I111" s="2">
        <v>45678</v>
      </c>
      <c r="J111" s="2">
        <v>45674</v>
      </c>
      <c r="K111" s="2" t="str">
        <f>_xlfn.XLOOKUP(demandas[[#This Row],[SquadID]],squads!A:A,squads!B:B,)</f>
        <v>Squad Integrações</v>
      </c>
      <c r="L111" s="2" t="str">
        <f>VLOOKUP(demandas[[#This Row],[StatusID]],status!A:B,2,)</f>
        <v>Concluído</v>
      </c>
    </row>
    <row r="112" spans="1:12" x14ac:dyDescent="0.25">
      <c r="A112">
        <v>111</v>
      </c>
      <c r="B112" s="1" t="s">
        <v>120</v>
      </c>
      <c r="C112">
        <v>2</v>
      </c>
      <c r="D112">
        <v>3</v>
      </c>
      <c r="E112">
        <v>4</v>
      </c>
      <c r="F112">
        <v>4</v>
      </c>
      <c r="G112">
        <v>5</v>
      </c>
      <c r="H112" s="2">
        <v>45369</v>
      </c>
      <c r="I112" s="2">
        <v>45399</v>
      </c>
      <c r="J112" s="2">
        <v>45391</v>
      </c>
      <c r="K112" s="2" t="str">
        <f>_xlfn.XLOOKUP(demandas[[#This Row],[SquadID]],squads!A:A,squads!B:B,)</f>
        <v>Squad Crédito</v>
      </c>
      <c r="L112" s="2" t="str">
        <f>VLOOKUP(demandas[[#This Row],[StatusID]],status!A:B,2,)</f>
        <v>Concluído</v>
      </c>
    </row>
    <row r="113" spans="1:12" x14ac:dyDescent="0.25">
      <c r="A113">
        <v>112</v>
      </c>
      <c r="B113" s="1" t="s">
        <v>121</v>
      </c>
      <c r="C113">
        <v>5</v>
      </c>
      <c r="D113">
        <v>3</v>
      </c>
      <c r="E113">
        <v>3</v>
      </c>
      <c r="F113">
        <v>4</v>
      </c>
      <c r="G113">
        <v>15</v>
      </c>
      <c r="H113" s="2">
        <v>45666</v>
      </c>
      <c r="I113" s="2">
        <v>45685</v>
      </c>
      <c r="J113" s="2">
        <v>45684</v>
      </c>
      <c r="K113" s="2" t="str">
        <f>_xlfn.XLOOKUP(demandas[[#This Row],[SquadID]],squads!A:A,squads!B:B,)</f>
        <v>Squad Dados</v>
      </c>
      <c r="L113" s="2" t="str">
        <f>VLOOKUP(demandas[[#This Row],[StatusID]],status!A:B,2,)</f>
        <v>Concluído</v>
      </c>
    </row>
    <row r="114" spans="1:12" x14ac:dyDescent="0.25">
      <c r="A114">
        <v>113</v>
      </c>
      <c r="B114" s="1" t="s">
        <v>122</v>
      </c>
      <c r="C114">
        <v>4</v>
      </c>
      <c r="D114">
        <v>2</v>
      </c>
      <c r="E114">
        <v>3</v>
      </c>
      <c r="F114">
        <v>4</v>
      </c>
      <c r="G114">
        <v>12</v>
      </c>
      <c r="H114" s="2">
        <v>45682</v>
      </c>
      <c r="I114" s="2">
        <v>45705</v>
      </c>
      <c r="J114" s="2"/>
      <c r="K114" s="2" t="str">
        <f>_xlfn.XLOOKUP(demandas[[#This Row],[SquadID]],squads!A:A,squads!B:B,)</f>
        <v>Squad Segurança</v>
      </c>
      <c r="L114" s="2" t="str">
        <f>VLOOKUP(demandas[[#This Row],[StatusID]],status!A:B,2,)</f>
        <v>Em Andamento</v>
      </c>
    </row>
    <row r="115" spans="1:12" x14ac:dyDescent="0.25">
      <c r="A115">
        <v>114</v>
      </c>
      <c r="B115" s="1" t="s">
        <v>123</v>
      </c>
      <c r="C115">
        <v>4</v>
      </c>
      <c r="D115">
        <v>3</v>
      </c>
      <c r="E115">
        <v>3</v>
      </c>
      <c r="F115">
        <v>5</v>
      </c>
      <c r="G115">
        <v>11</v>
      </c>
      <c r="H115" s="2">
        <v>45518</v>
      </c>
      <c r="I115" s="2">
        <v>45537</v>
      </c>
      <c r="J115" s="2">
        <v>45528</v>
      </c>
      <c r="K115" s="2" t="str">
        <f>_xlfn.XLOOKUP(demandas[[#This Row],[SquadID]],squads!A:A,squads!B:B,)</f>
        <v>Squad Segurança</v>
      </c>
      <c r="L115" s="2" t="str">
        <f>VLOOKUP(demandas[[#This Row],[StatusID]],status!A:B,2,)</f>
        <v>Concluído</v>
      </c>
    </row>
    <row r="116" spans="1:12" x14ac:dyDescent="0.25">
      <c r="A116">
        <v>115</v>
      </c>
      <c r="B116" s="1" t="s">
        <v>124</v>
      </c>
      <c r="C116">
        <v>3</v>
      </c>
      <c r="D116">
        <v>1</v>
      </c>
      <c r="E116">
        <v>2</v>
      </c>
      <c r="F116">
        <v>5</v>
      </c>
      <c r="G116">
        <v>8</v>
      </c>
      <c r="H116" s="2">
        <v>45796</v>
      </c>
      <c r="I116" s="2">
        <v>45805</v>
      </c>
      <c r="J116" s="2"/>
      <c r="K116" s="2" t="str">
        <f>_xlfn.XLOOKUP(demandas[[#This Row],[SquadID]],squads!A:A,squads!B:B,)</f>
        <v>Squad Onboarding</v>
      </c>
      <c r="L116" s="2" t="str">
        <f>VLOOKUP(demandas[[#This Row],[StatusID]],status!A:B,2,)</f>
        <v>Aberto</v>
      </c>
    </row>
    <row r="117" spans="1:12" x14ac:dyDescent="0.25">
      <c r="A117">
        <v>116</v>
      </c>
      <c r="B117" s="1" t="s">
        <v>125</v>
      </c>
      <c r="C117">
        <v>1</v>
      </c>
      <c r="D117">
        <v>4</v>
      </c>
      <c r="E117">
        <v>3</v>
      </c>
      <c r="F117">
        <v>4</v>
      </c>
      <c r="G117">
        <v>3</v>
      </c>
      <c r="H117" s="2">
        <v>45721</v>
      </c>
      <c r="I117" s="2">
        <v>45741</v>
      </c>
      <c r="J117" s="2"/>
      <c r="K117" s="2" t="str">
        <f>_xlfn.XLOOKUP(demandas[[#This Row],[SquadID]],squads!A:A,squads!B:B,)</f>
        <v>Squad Pagamentos</v>
      </c>
      <c r="L117" s="2" t="str">
        <f>VLOOKUP(demandas[[#This Row],[StatusID]],status!A:B,2,)</f>
        <v>Bloqueado</v>
      </c>
    </row>
    <row r="118" spans="1:12" x14ac:dyDescent="0.25">
      <c r="A118">
        <v>117</v>
      </c>
      <c r="B118" s="1" t="s">
        <v>126</v>
      </c>
      <c r="C118">
        <v>1</v>
      </c>
      <c r="D118">
        <v>3</v>
      </c>
      <c r="E118">
        <v>3</v>
      </c>
      <c r="F118">
        <v>2</v>
      </c>
      <c r="G118">
        <v>2</v>
      </c>
      <c r="H118" s="2">
        <v>45325</v>
      </c>
      <c r="I118" s="2">
        <v>45348</v>
      </c>
      <c r="J118" s="2">
        <v>45333</v>
      </c>
      <c r="K118" s="2" t="str">
        <f>_xlfn.XLOOKUP(demandas[[#This Row],[SquadID]],squads!A:A,squads!B:B,)</f>
        <v>Squad Pagamentos</v>
      </c>
      <c r="L118" s="2" t="str">
        <f>VLOOKUP(demandas[[#This Row],[StatusID]],status!A:B,2,)</f>
        <v>Concluído</v>
      </c>
    </row>
    <row r="119" spans="1:12" x14ac:dyDescent="0.25">
      <c r="A119">
        <v>118</v>
      </c>
      <c r="B119" s="1" t="s">
        <v>127</v>
      </c>
      <c r="C119">
        <v>3</v>
      </c>
      <c r="D119">
        <v>3</v>
      </c>
      <c r="E119">
        <v>4</v>
      </c>
      <c r="F119">
        <v>2</v>
      </c>
      <c r="G119">
        <v>9</v>
      </c>
      <c r="H119" s="2">
        <v>45659</v>
      </c>
      <c r="I119" s="2">
        <v>45687</v>
      </c>
      <c r="J119" s="2">
        <v>45663</v>
      </c>
      <c r="K119" s="2" t="str">
        <f>_xlfn.XLOOKUP(demandas[[#This Row],[SquadID]],squads!A:A,squads!B:B,)</f>
        <v>Squad Onboarding</v>
      </c>
      <c r="L119" s="2" t="str">
        <f>VLOOKUP(demandas[[#This Row],[StatusID]],status!A:B,2,)</f>
        <v>Concluído</v>
      </c>
    </row>
    <row r="120" spans="1:12" x14ac:dyDescent="0.25">
      <c r="A120">
        <v>119</v>
      </c>
      <c r="B120" s="1" t="s">
        <v>128</v>
      </c>
      <c r="C120">
        <v>1</v>
      </c>
      <c r="D120">
        <v>3</v>
      </c>
      <c r="E120">
        <v>2</v>
      </c>
      <c r="F120">
        <v>3</v>
      </c>
      <c r="G120">
        <v>1</v>
      </c>
      <c r="H120" s="2">
        <v>45343</v>
      </c>
      <c r="I120" s="2">
        <v>45356</v>
      </c>
      <c r="J120" s="2">
        <v>45353</v>
      </c>
      <c r="K120" s="2" t="str">
        <f>_xlfn.XLOOKUP(demandas[[#This Row],[SquadID]],squads!A:A,squads!B:B,)</f>
        <v>Squad Pagamentos</v>
      </c>
      <c r="L120" s="2" t="str">
        <f>VLOOKUP(demandas[[#This Row],[StatusID]],status!A:B,2,)</f>
        <v>Concluído</v>
      </c>
    </row>
    <row r="121" spans="1:12" x14ac:dyDescent="0.25">
      <c r="A121">
        <v>120</v>
      </c>
      <c r="B121" s="1" t="s">
        <v>129</v>
      </c>
      <c r="C121">
        <v>1</v>
      </c>
      <c r="D121">
        <v>3</v>
      </c>
      <c r="E121">
        <v>3</v>
      </c>
      <c r="F121">
        <v>1</v>
      </c>
      <c r="G121">
        <v>1</v>
      </c>
      <c r="H121" s="2">
        <v>45530</v>
      </c>
      <c r="I121" s="2">
        <v>45553</v>
      </c>
      <c r="J121" s="2">
        <v>45563</v>
      </c>
      <c r="K121" s="2" t="str">
        <f>_xlfn.XLOOKUP(demandas[[#This Row],[SquadID]],squads!A:A,squads!B:B,)</f>
        <v>Squad Pagamentos</v>
      </c>
      <c r="L121" s="2" t="str">
        <f>VLOOKUP(demandas[[#This Row],[StatusID]],status!A:B,2,)</f>
        <v>Concluído</v>
      </c>
    </row>
    <row r="122" spans="1:12" x14ac:dyDescent="0.25">
      <c r="A122">
        <v>121</v>
      </c>
      <c r="B122" s="1" t="s">
        <v>130</v>
      </c>
      <c r="C122">
        <v>2</v>
      </c>
      <c r="D122">
        <v>2</v>
      </c>
      <c r="E122">
        <v>4</v>
      </c>
      <c r="F122">
        <v>6</v>
      </c>
      <c r="G122">
        <v>6</v>
      </c>
      <c r="H122" s="2">
        <v>45548</v>
      </c>
      <c r="I122" s="2">
        <v>45578</v>
      </c>
      <c r="J122" s="2"/>
      <c r="K122" s="2" t="str">
        <f>_xlfn.XLOOKUP(demandas[[#This Row],[SquadID]],squads!A:A,squads!B:B,)</f>
        <v>Squad Crédito</v>
      </c>
      <c r="L122" s="2" t="str">
        <f>VLOOKUP(demandas[[#This Row],[StatusID]],status!A:B,2,)</f>
        <v>Em Andamento</v>
      </c>
    </row>
    <row r="123" spans="1:12" x14ac:dyDescent="0.25">
      <c r="A123">
        <v>122</v>
      </c>
      <c r="B123" s="1" t="s">
        <v>131</v>
      </c>
      <c r="C123">
        <v>1</v>
      </c>
      <c r="D123">
        <v>3</v>
      </c>
      <c r="E123">
        <v>1</v>
      </c>
      <c r="F123">
        <v>4</v>
      </c>
      <c r="G123">
        <v>1</v>
      </c>
      <c r="H123" s="2">
        <v>45623</v>
      </c>
      <c r="I123" s="2">
        <v>45626</v>
      </c>
      <c r="J123" s="2">
        <v>45626</v>
      </c>
      <c r="K123" s="2" t="str">
        <f>_xlfn.XLOOKUP(demandas[[#This Row],[SquadID]],squads!A:A,squads!B:B,)</f>
        <v>Squad Pagamentos</v>
      </c>
      <c r="L123" s="2" t="str">
        <f>VLOOKUP(demandas[[#This Row],[StatusID]],status!A:B,2,)</f>
        <v>Concluído</v>
      </c>
    </row>
    <row r="124" spans="1:12" x14ac:dyDescent="0.25">
      <c r="A124">
        <v>123</v>
      </c>
      <c r="B124" s="1" t="s">
        <v>132</v>
      </c>
      <c r="C124">
        <v>5</v>
      </c>
      <c r="D124">
        <v>2</v>
      </c>
      <c r="E124">
        <v>3</v>
      </c>
      <c r="F124">
        <v>3</v>
      </c>
      <c r="G124">
        <v>14</v>
      </c>
      <c r="H124" s="2">
        <v>45817</v>
      </c>
      <c r="I124" s="2">
        <v>45836</v>
      </c>
      <c r="J124" s="2"/>
      <c r="K124" s="2" t="str">
        <f>_xlfn.XLOOKUP(demandas[[#This Row],[SquadID]],squads!A:A,squads!B:B,)</f>
        <v>Squad Dados</v>
      </c>
      <c r="L124" s="2" t="str">
        <f>VLOOKUP(demandas[[#This Row],[StatusID]],status!A:B,2,)</f>
        <v>Em Andamento</v>
      </c>
    </row>
    <row r="125" spans="1:12" x14ac:dyDescent="0.25">
      <c r="A125">
        <v>124</v>
      </c>
      <c r="B125" s="1" t="s">
        <v>133</v>
      </c>
      <c r="C125">
        <v>8</v>
      </c>
      <c r="D125">
        <v>3</v>
      </c>
      <c r="E125">
        <v>1</v>
      </c>
      <c r="F125">
        <v>4</v>
      </c>
      <c r="G125">
        <v>24</v>
      </c>
      <c r="H125" s="2">
        <v>45600</v>
      </c>
      <c r="I125" s="2">
        <v>45610</v>
      </c>
      <c r="J125" s="2">
        <v>45608</v>
      </c>
      <c r="K125" s="2" t="str">
        <f>_xlfn.XLOOKUP(demandas[[#This Row],[SquadID]],squads!A:A,squads!B:B,)</f>
        <v>Squad Infraestrutura</v>
      </c>
      <c r="L125" s="2" t="str">
        <f>VLOOKUP(demandas[[#This Row],[StatusID]],status!A:B,2,)</f>
        <v>Concluído</v>
      </c>
    </row>
    <row r="126" spans="1:12" x14ac:dyDescent="0.25">
      <c r="A126">
        <v>125</v>
      </c>
      <c r="B126" s="1" t="s">
        <v>134</v>
      </c>
      <c r="C126">
        <v>3</v>
      </c>
      <c r="D126">
        <v>3</v>
      </c>
      <c r="E126">
        <v>3</v>
      </c>
      <c r="F126">
        <v>3</v>
      </c>
      <c r="G126">
        <v>8</v>
      </c>
      <c r="H126" s="2">
        <v>45367</v>
      </c>
      <c r="I126" s="2">
        <v>45386</v>
      </c>
      <c r="J126" s="2">
        <v>45372</v>
      </c>
      <c r="K126" s="2" t="str">
        <f>_xlfn.XLOOKUP(demandas[[#This Row],[SquadID]],squads!A:A,squads!B:B,)</f>
        <v>Squad Onboarding</v>
      </c>
      <c r="L126" s="2" t="str">
        <f>VLOOKUP(demandas[[#This Row],[StatusID]],status!A:B,2,)</f>
        <v>Concluído</v>
      </c>
    </row>
    <row r="127" spans="1:12" x14ac:dyDescent="0.25">
      <c r="A127">
        <v>126</v>
      </c>
      <c r="B127" s="1" t="s">
        <v>135</v>
      </c>
      <c r="C127">
        <v>5</v>
      </c>
      <c r="D127">
        <v>3</v>
      </c>
      <c r="E127">
        <v>3</v>
      </c>
      <c r="F127">
        <v>4</v>
      </c>
      <c r="G127">
        <v>14</v>
      </c>
      <c r="H127" s="2">
        <v>45593</v>
      </c>
      <c r="I127" s="2">
        <v>45618</v>
      </c>
      <c r="J127" s="2">
        <v>45616</v>
      </c>
      <c r="K127" s="2" t="str">
        <f>_xlfn.XLOOKUP(demandas[[#This Row],[SquadID]],squads!A:A,squads!B:B,)</f>
        <v>Squad Dados</v>
      </c>
      <c r="L127" s="2" t="str">
        <f>VLOOKUP(demandas[[#This Row],[StatusID]],status!A:B,2,)</f>
        <v>Concluído</v>
      </c>
    </row>
    <row r="128" spans="1:12" x14ac:dyDescent="0.25">
      <c r="A128">
        <v>127</v>
      </c>
      <c r="B128" s="1" t="s">
        <v>136</v>
      </c>
      <c r="C128">
        <v>7</v>
      </c>
      <c r="D128">
        <v>3</v>
      </c>
      <c r="E128">
        <v>3</v>
      </c>
      <c r="F128">
        <v>4</v>
      </c>
      <c r="G128">
        <v>21</v>
      </c>
      <c r="H128" s="2">
        <v>45512</v>
      </c>
      <c r="I128" s="2">
        <v>45536</v>
      </c>
      <c r="J128" s="2">
        <v>45523</v>
      </c>
      <c r="K128" s="2" t="str">
        <f>_xlfn.XLOOKUP(demandas[[#This Row],[SquadID]],squads!A:A,squads!B:B,)</f>
        <v>Squad Experiência</v>
      </c>
      <c r="L128" s="2" t="str">
        <f>VLOOKUP(demandas[[#This Row],[StatusID]],status!A:B,2,)</f>
        <v>Concluído</v>
      </c>
    </row>
    <row r="129" spans="1:12" x14ac:dyDescent="0.25">
      <c r="A129">
        <v>128</v>
      </c>
      <c r="B129" s="1" t="s">
        <v>137</v>
      </c>
      <c r="C129">
        <v>4</v>
      </c>
      <c r="D129">
        <v>3</v>
      </c>
      <c r="E129">
        <v>3</v>
      </c>
      <c r="F129">
        <v>1</v>
      </c>
      <c r="G129">
        <v>11</v>
      </c>
      <c r="H129" s="2">
        <v>45612</v>
      </c>
      <c r="I129" s="2">
        <v>45634</v>
      </c>
      <c r="J129" s="2">
        <v>45628</v>
      </c>
      <c r="K129" s="2" t="str">
        <f>_xlfn.XLOOKUP(demandas[[#This Row],[SquadID]],squads!A:A,squads!B:B,)</f>
        <v>Squad Segurança</v>
      </c>
      <c r="L129" s="2" t="str">
        <f>VLOOKUP(demandas[[#This Row],[StatusID]],status!A:B,2,)</f>
        <v>Concluído</v>
      </c>
    </row>
    <row r="130" spans="1:12" x14ac:dyDescent="0.25">
      <c r="A130">
        <v>129</v>
      </c>
      <c r="B130" s="1" t="s">
        <v>138</v>
      </c>
      <c r="C130">
        <v>1</v>
      </c>
      <c r="D130">
        <v>3</v>
      </c>
      <c r="E130">
        <v>1</v>
      </c>
      <c r="F130">
        <v>2</v>
      </c>
      <c r="G130">
        <v>3</v>
      </c>
      <c r="H130" s="2">
        <v>45673</v>
      </c>
      <c r="I130" s="2">
        <v>45678</v>
      </c>
      <c r="J130" s="2">
        <v>45678</v>
      </c>
      <c r="K130" s="2" t="str">
        <f>_xlfn.XLOOKUP(demandas[[#This Row],[SquadID]],squads!A:A,squads!B:B,)</f>
        <v>Squad Pagamentos</v>
      </c>
      <c r="L130" s="2" t="str">
        <f>VLOOKUP(demandas[[#This Row],[StatusID]],status!A:B,2,)</f>
        <v>Concluído</v>
      </c>
    </row>
    <row r="131" spans="1:12" x14ac:dyDescent="0.25">
      <c r="A131">
        <v>130</v>
      </c>
      <c r="B131" s="1" t="s">
        <v>139</v>
      </c>
      <c r="C131">
        <v>3</v>
      </c>
      <c r="D131">
        <v>5</v>
      </c>
      <c r="E131">
        <v>2</v>
      </c>
      <c r="F131">
        <v>2</v>
      </c>
      <c r="G131">
        <v>9</v>
      </c>
      <c r="H131" s="2">
        <v>45725</v>
      </c>
      <c r="I131" s="2">
        <v>45733</v>
      </c>
      <c r="J131" s="2">
        <v>45731</v>
      </c>
      <c r="K131" s="2" t="str">
        <f>_xlfn.XLOOKUP(demandas[[#This Row],[SquadID]],squads!A:A,squads!B:B,)</f>
        <v>Squad Onboarding</v>
      </c>
      <c r="L131" s="2" t="str">
        <f>VLOOKUP(demandas[[#This Row],[StatusID]],status!A:B,2,)</f>
        <v>Cancelado</v>
      </c>
    </row>
    <row r="132" spans="1:12" x14ac:dyDescent="0.25">
      <c r="A132">
        <v>131</v>
      </c>
      <c r="B132" s="1" t="s">
        <v>140</v>
      </c>
      <c r="C132">
        <v>5</v>
      </c>
      <c r="D132">
        <v>3</v>
      </c>
      <c r="E132">
        <v>2</v>
      </c>
      <c r="F132">
        <v>4</v>
      </c>
      <c r="G132">
        <v>13</v>
      </c>
      <c r="H132" s="2">
        <v>45402</v>
      </c>
      <c r="I132" s="2">
        <v>45415</v>
      </c>
      <c r="J132" s="2">
        <v>45415</v>
      </c>
      <c r="K132" s="2" t="str">
        <f>_xlfn.XLOOKUP(demandas[[#This Row],[SquadID]],squads!A:A,squads!B:B,)</f>
        <v>Squad Dados</v>
      </c>
      <c r="L132" s="2" t="str">
        <f>VLOOKUP(demandas[[#This Row],[StatusID]],status!A:B,2,)</f>
        <v>Concluído</v>
      </c>
    </row>
    <row r="133" spans="1:12" x14ac:dyDescent="0.25">
      <c r="A133">
        <v>132</v>
      </c>
      <c r="B133" s="1" t="s">
        <v>141</v>
      </c>
      <c r="C133">
        <v>5</v>
      </c>
      <c r="D133">
        <v>1</v>
      </c>
      <c r="E133">
        <v>4</v>
      </c>
      <c r="F133">
        <v>4</v>
      </c>
      <c r="G133">
        <v>15</v>
      </c>
      <c r="H133" s="2">
        <v>45318</v>
      </c>
      <c r="I133" s="2">
        <v>45350</v>
      </c>
      <c r="J133" s="2"/>
      <c r="K133" s="2" t="str">
        <f>_xlfn.XLOOKUP(demandas[[#This Row],[SquadID]],squads!A:A,squads!B:B,)</f>
        <v>Squad Dados</v>
      </c>
      <c r="L133" s="2" t="str">
        <f>VLOOKUP(demandas[[#This Row],[StatusID]],status!A:B,2,)</f>
        <v>Aberto</v>
      </c>
    </row>
    <row r="134" spans="1:12" x14ac:dyDescent="0.25">
      <c r="A134">
        <v>133</v>
      </c>
      <c r="B134" s="1" t="s">
        <v>142</v>
      </c>
      <c r="C134">
        <v>6</v>
      </c>
      <c r="D134">
        <v>3</v>
      </c>
      <c r="E134">
        <v>2</v>
      </c>
      <c r="F134">
        <v>2</v>
      </c>
      <c r="G134">
        <v>16</v>
      </c>
      <c r="H134" s="2">
        <v>45477</v>
      </c>
      <c r="I134" s="2">
        <v>45487</v>
      </c>
      <c r="J134" s="2">
        <v>45480</v>
      </c>
      <c r="K134" s="2" t="str">
        <f>_xlfn.XLOOKUP(demandas[[#This Row],[SquadID]],squads!A:A,squads!B:B,)</f>
        <v>Squad Integrações</v>
      </c>
      <c r="L134" s="2" t="str">
        <f>VLOOKUP(demandas[[#This Row],[StatusID]],status!A:B,2,)</f>
        <v>Concluído</v>
      </c>
    </row>
    <row r="135" spans="1:12" x14ac:dyDescent="0.25">
      <c r="A135">
        <v>134</v>
      </c>
      <c r="B135" s="1" t="s">
        <v>143</v>
      </c>
      <c r="C135">
        <v>5</v>
      </c>
      <c r="D135">
        <v>3</v>
      </c>
      <c r="E135">
        <v>1</v>
      </c>
      <c r="F135">
        <v>4</v>
      </c>
      <c r="G135">
        <v>13</v>
      </c>
      <c r="H135" s="2">
        <v>45677</v>
      </c>
      <c r="I135" s="2">
        <v>45686</v>
      </c>
      <c r="J135" s="2">
        <v>45682</v>
      </c>
      <c r="K135" s="2" t="str">
        <f>_xlfn.XLOOKUP(demandas[[#This Row],[SquadID]],squads!A:A,squads!B:B,)</f>
        <v>Squad Dados</v>
      </c>
      <c r="L135" s="2" t="str">
        <f>VLOOKUP(demandas[[#This Row],[StatusID]],status!A:B,2,)</f>
        <v>Concluído</v>
      </c>
    </row>
    <row r="136" spans="1:12" x14ac:dyDescent="0.25">
      <c r="A136">
        <v>135</v>
      </c>
      <c r="B136" s="1" t="s">
        <v>144</v>
      </c>
      <c r="C136">
        <v>3</v>
      </c>
      <c r="D136">
        <v>3</v>
      </c>
      <c r="E136">
        <v>4</v>
      </c>
      <c r="F136">
        <v>3</v>
      </c>
      <c r="G136">
        <v>7</v>
      </c>
      <c r="H136" s="2">
        <v>45451</v>
      </c>
      <c r="I136" s="2">
        <v>45481</v>
      </c>
      <c r="J136" s="2">
        <v>45454</v>
      </c>
      <c r="K136" s="2" t="str">
        <f>_xlfn.XLOOKUP(demandas[[#This Row],[SquadID]],squads!A:A,squads!B:B,)</f>
        <v>Squad Onboarding</v>
      </c>
      <c r="L136" s="2" t="str">
        <f>VLOOKUP(demandas[[#This Row],[StatusID]],status!A:B,2,)</f>
        <v>Concluído</v>
      </c>
    </row>
    <row r="137" spans="1:12" x14ac:dyDescent="0.25">
      <c r="A137">
        <v>136</v>
      </c>
      <c r="B137" s="1" t="s">
        <v>145</v>
      </c>
      <c r="C137">
        <v>4</v>
      </c>
      <c r="D137">
        <v>3</v>
      </c>
      <c r="E137">
        <v>3</v>
      </c>
      <c r="F137">
        <v>3</v>
      </c>
      <c r="G137">
        <v>11</v>
      </c>
      <c r="H137" s="2">
        <v>45571</v>
      </c>
      <c r="I137" s="2">
        <v>45592</v>
      </c>
      <c r="J137" s="2">
        <v>45585</v>
      </c>
      <c r="K137" s="2" t="str">
        <f>_xlfn.XLOOKUP(demandas[[#This Row],[SquadID]],squads!A:A,squads!B:B,)</f>
        <v>Squad Segurança</v>
      </c>
      <c r="L137" s="2" t="str">
        <f>VLOOKUP(demandas[[#This Row],[StatusID]],status!A:B,2,)</f>
        <v>Concluído</v>
      </c>
    </row>
    <row r="138" spans="1:12" x14ac:dyDescent="0.25">
      <c r="A138">
        <v>137</v>
      </c>
      <c r="B138" s="1" t="s">
        <v>146</v>
      </c>
      <c r="C138">
        <v>2</v>
      </c>
      <c r="D138">
        <v>3</v>
      </c>
      <c r="E138">
        <v>3</v>
      </c>
      <c r="F138">
        <v>3</v>
      </c>
      <c r="G138">
        <v>6</v>
      </c>
      <c r="H138" s="2">
        <v>45607</v>
      </c>
      <c r="I138" s="2">
        <v>45625</v>
      </c>
      <c r="J138" s="2">
        <v>45626</v>
      </c>
      <c r="K138" s="2" t="str">
        <f>_xlfn.XLOOKUP(demandas[[#This Row],[SquadID]],squads!A:A,squads!B:B,)</f>
        <v>Squad Crédito</v>
      </c>
      <c r="L138" s="2" t="str">
        <f>VLOOKUP(demandas[[#This Row],[StatusID]],status!A:B,2,)</f>
        <v>Concluído</v>
      </c>
    </row>
    <row r="139" spans="1:12" x14ac:dyDescent="0.25">
      <c r="A139">
        <v>138</v>
      </c>
      <c r="B139" s="1" t="s">
        <v>147</v>
      </c>
      <c r="C139">
        <v>2</v>
      </c>
      <c r="D139">
        <v>2</v>
      </c>
      <c r="E139">
        <v>4</v>
      </c>
      <c r="F139">
        <v>4</v>
      </c>
      <c r="G139">
        <v>5</v>
      </c>
      <c r="H139" s="2">
        <v>45588</v>
      </c>
      <c r="I139" s="2">
        <v>45621</v>
      </c>
      <c r="J139" s="2"/>
      <c r="K139" s="2" t="str">
        <f>_xlfn.XLOOKUP(demandas[[#This Row],[SquadID]],squads!A:A,squads!B:B,)</f>
        <v>Squad Crédito</v>
      </c>
      <c r="L139" s="2" t="str">
        <f>VLOOKUP(demandas[[#This Row],[StatusID]],status!A:B,2,)</f>
        <v>Em Andamento</v>
      </c>
    </row>
    <row r="140" spans="1:12" x14ac:dyDescent="0.25">
      <c r="A140">
        <v>139</v>
      </c>
      <c r="B140" s="1" t="s">
        <v>148</v>
      </c>
      <c r="C140">
        <v>6</v>
      </c>
      <c r="D140">
        <v>2</v>
      </c>
      <c r="E140">
        <v>2</v>
      </c>
      <c r="F140">
        <v>2</v>
      </c>
      <c r="G140">
        <v>18</v>
      </c>
      <c r="H140" s="2">
        <v>45527</v>
      </c>
      <c r="I140" s="2">
        <v>45540</v>
      </c>
      <c r="J140" s="2"/>
      <c r="K140" s="2" t="str">
        <f>_xlfn.XLOOKUP(demandas[[#This Row],[SquadID]],squads!A:A,squads!B:B,)</f>
        <v>Squad Integrações</v>
      </c>
      <c r="L140" s="2" t="str">
        <f>VLOOKUP(demandas[[#This Row],[StatusID]],status!A:B,2,)</f>
        <v>Em Andamento</v>
      </c>
    </row>
    <row r="141" spans="1:12" x14ac:dyDescent="0.25">
      <c r="A141">
        <v>140</v>
      </c>
      <c r="B141" s="1" t="s">
        <v>149</v>
      </c>
      <c r="C141">
        <v>6</v>
      </c>
      <c r="D141">
        <v>3</v>
      </c>
      <c r="E141">
        <v>3</v>
      </c>
      <c r="F141">
        <v>3</v>
      </c>
      <c r="G141">
        <v>16</v>
      </c>
      <c r="H141" s="2">
        <v>45612</v>
      </c>
      <c r="I141" s="2">
        <v>45636</v>
      </c>
      <c r="J141" s="2">
        <v>45626</v>
      </c>
      <c r="K141" s="2" t="str">
        <f>_xlfn.XLOOKUP(demandas[[#This Row],[SquadID]],squads!A:A,squads!B:B,)</f>
        <v>Squad Integrações</v>
      </c>
      <c r="L141" s="2" t="str">
        <f>VLOOKUP(demandas[[#This Row],[StatusID]],status!A:B,2,)</f>
        <v>Concluído</v>
      </c>
    </row>
    <row r="142" spans="1:12" x14ac:dyDescent="0.25">
      <c r="A142">
        <v>141</v>
      </c>
      <c r="B142" s="1" t="s">
        <v>150</v>
      </c>
      <c r="C142">
        <v>1</v>
      </c>
      <c r="D142">
        <v>1</v>
      </c>
      <c r="E142">
        <v>1</v>
      </c>
      <c r="F142">
        <v>2</v>
      </c>
      <c r="G142">
        <v>3</v>
      </c>
      <c r="H142" s="2">
        <v>45763</v>
      </c>
      <c r="I142" s="2">
        <v>45771</v>
      </c>
      <c r="J142" s="2"/>
      <c r="K142" s="2" t="str">
        <f>_xlfn.XLOOKUP(demandas[[#This Row],[SquadID]],squads!A:A,squads!B:B,)</f>
        <v>Squad Pagamentos</v>
      </c>
      <c r="L142" s="2" t="str">
        <f>VLOOKUP(demandas[[#This Row],[StatusID]],status!A:B,2,)</f>
        <v>Aberto</v>
      </c>
    </row>
    <row r="143" spans="1:12" x14ac:dyDescent="0.25">
      <c r="A143">
        <v>142</v>
      </c>
      <c r="B143" s="1" t="s">
        <v>151</v>
      </c>
      <c r="C143">
        <v>1</v>
      </c>
      <c r="D143">
        <v>3</v>
      </c>
      <c r="E143">
        <v>3</v>
      </c>
      <c r="F143">
        <v>2</v>
      </c>
      <c r="G143">
        <v>1</v>
      </c>
      <c r="H143" s="2">
        <v>45697</v>
      </c>
      <c r="I143" s="2">
        <v>45719</v>
      </c>
      <c r="J143" s="2">
        <v>45703</v>
      </c>
      <c r="K143" s="2" t="str">
        <f>_xlfn.XLOOKUP(demandas[[#This Row],[SquadID]],squads!A:A,squads!B:B,)</f>
        <v>Squad Pagamentos</v>
      </c>
      <c r="L143" s="2" t="str">
        <f>VLOOKUP(demandas[[#This Row],[StatusID]],status!A:B,2,)</f>
        <v>Concluído</v>
      </c>
    </row>
    <row r="144" spans="1:12" x14ac:dyDescent="0.25">
      <c r="A144">
        <v>143</v>
      </c>
      <c r="B144" s="1" t="s">
        <v>152</v>
      </c>
      <c r="C144">
        <v>5</v>
      </c>
      <c r="D144">
        <v>3</v>
      </c>
      <c r="E144">
        <v>2</v>
      </c>
      <c r="F144">
        <v>3</v>
      </c>
      <c r="G144">
        <v>14</v>
      </c>
      <c r="H144" s="2">
        <v>45651</v>
      </c>
      <c r="I144" s="2">
        <v>45661</v>
      </c>
      <c r="J144" s="2">
        <v>45655</v>
      </c>
      <c r="K144" s="2" t="str">
        <f>_xlfn.XLOOKUP(demandas[[#This Row],[SquadID]],squads!A:A,squads!B:B,)</f>
        <v>Squad Dados</v>
      </c>
      <c r="L144" s="2" t="str">
        <f>VLOOKUP(demandas[[#This Row],[StatusID]],status!A:B,2,)</f>
        <v>Concluído</v>
      </c>
    </row>
    <row r="145" spans="1:12" x14ac:dyDescent="0.25">
      <c r="A145">
        <v>144</v>
      </c>
      <c r="B145" s="1" t="s">
        <v>153</v>
      </c>
      <c r="C145">
        <v>5</v>
      </c>
      <c r="D145">
        <v>3</v>
      </c>
      <c r="E145">
        <v>3</v>
      </c>
      <c r="F145">
        <v>4</v>
      </c>
      <c r="G145">
        <v>13</v>
      </c>
      <c r="H145" s="2">
        <v>45797</v>
      </c>
      <c r="I145" s="2">
        <v>45822</v>
      </c>
      <c r="J145" s="2">
        <v>45830</v>
      </c>
      <c r="K145" s="2" t="str">
        <f>_xlfn.XLOOKUP(demandas[[#This Row],[SquadID]],squads!A:A,squads!B:B,)</f>
        <v>Squad Dados</v>
      </c>
      <c r="L145" s="2" t="str">
        <f>VLOOKUP(demandas[[#This Row],[StatusID]],status!A:B,2,)</f>
        <v>Concluído</v>
      </c>
    </row>
    <row r="146" spans="1:12" x14ac:dyDescent="0.25">
      <c r="A146">
        <v>145</v>
      </c>
      <c r="B146" s="1" t="s">
        <v>154</v>
      </c>
      <c r="C146">
        <v>7</v>
      </c>
      <c r="D146">
        <v>3</v>
      </c>
      <c r="E146">
        <v>3</v>
      </c>
      <c r="F146">
        <v>3</v>
      </c>
      <c r="G146">
        <v>21</v>
      </c>
      <c r="H146" s="2">
        <v>45622</v>
      </c>
      <c r="I146" s="2">
        <v>45645</v>
      </c>
      <c r="J146" s="2">
        <v>45637</v>
      </c>
      <c r="K146" s="2" t="str">
        <f>_xlfn.XLOOKUP(demandas[[#This Row],[SquadID]],squads!A:A,squads!B:B,)</f>
        <v>Squad Experiência</v>
      </c>
      <c r="L146" s="2" t="str">
        <f>VLOOKUP(demandas[[#This Row],[StatusID]],status!A:B,2,)</f>
        <v>Concluído</v>
      </c>
    </row>
    <row r="147" spans="1:12" x14ac:dyDescent="0.25">
      <c r="A147">
        <v>146</v>
      </c>
      <c r="B147" s="1" t="s">
        <v>155</v>
      </c>
      <c r="C147">
        <v>2</v>
      </c>
      <c r="D147">
        <v>3</v>
      </c>
      <c r="E147">
        <v>2</v>
      </c>
      <c r="F147">
        <v>1</v>
      </c>
      <c r="G147">
        <v>6</v>
      </c>
      <c r="H147" s="2">
        <v>45367</v>
      </c>
      <c r="I147" s="2">
        <v>45379</v>
      </c>
      <c r="J147" s="2">
        <v>45373</v>
      </c>
      <c r="K147" s="2" t="str">
        <f>_xlfn.XLOOKUP(demandas[[#This Row],[SquadID]],squads!A:A,squads!B:B,)</f>
        <v>Squad Crédito</v>
      </c>
      <c r="L147" s="2" t="str">
        <f>VLOOKUP(demandas[[#This Row],[StatusID]],status!A:B,2,)</f>
        <v>Concluído</v>
      </c>
    </row>
    <row r="148" spans="1:12" x14ac:dyDescent="0.25">
      <c r="A148">
        <v>147</v>
      </c>
      <c r="B148" s="1" t="s">
        <v>156</v>
      </c>
      <c r="C148">
        <v>2</v>
      </c>
      <c r="D148">
        <v>2</v>
      </c>
      <c r="E148">
        <v>3</v>
      </c>
      <c r="F148">
        <v>6</v>
      </c>
      <c r="G148">
        <v>4</v>
      </c>
      <c r="H148" s="2">
        <v>45811</v>
      </c>
      <c r="I148" s="2">
        <v>45835</v>
      </c>
      <c r="J148" s="2"/>
      <c r="K148" s="2" t="str">
        <f>_xlfn.XLOOKUP(demandas[[#This Row],[SquadID]],squads!A:A,squads!B:B,)</f>
        <v>Squad Crédito</v>
      </c>
      <c r="L148" s="2" t="str">
        <f>VLOOKUP(demandas[[#This Row],[StatusID]],status!A:B,2,)</f>
        <v>Em Andamento</v>
      </c>
    </row>
    <row r="149" spans="1:12" x14ac:dyDescent="0.25">
      <c r="A149">
        <v>148</v>
      </c>
      <c r="B149" s="1" t="s">
        <v>157</v>
      </c>
      <c r="C149">
        <v>8</v>
      </c>
      <c r="D149">
        <v>3</v>
      </c>
      <c r="E149">
        <v>3</v>
      </c>
      <c r="F149">
        <v>1</v>
      </c>
      <c r="G149">
        <v>24</v>
      </c>
      <c r="H149" s="2">
        <v>45484</v>
      </c>
      <c r="I149" s="2">
        <v>45507</v>
      </c>
      <c r="J149" s="2">
        <v>45486</v>
      </c>
      <c r="K149" s="2" t="str">
        <f>_xlfn.XLOOKUP(demandas[[#This Row],[SquadID]],squads!A:A,squads!B:B,)</f>
        <v>Squad Infraestrutura</v>
      </c>
      <c r="L149" s="2" t="str">
        <f>VLOOKUP(demandas[[#This Row],[StatusID]],status!A:B,2,)</f>
        <v>Concluído</v>
      </c>
    </row>
    <row r="150" spans="1:12" x14ac:dyDescent="0.25">
      <c r="A150">
        <v>149</v>
      </c>
      <c r="B150" s="1" t="s">
        <v>158</v>
      </c>
      <c r="C150">
        <v>1</v>
      </c>
      <c r="D150">
        <v>1</v>
      </c>
      <c r="E150">
        <v>4</v>
      </c>
      <c r="F150">
        <v>2</v>
      </c>
      <c r="G150">
        <v>3</v>
      </c>
      <c r="H150" s="2">
        <v>45378</v>
      </c>
      <c r="I150" s="2">
        <v>45408</v>
      </c>
      <c r="J150" s="2"/>
      <c r="K150" s="2" t="str">
        <f>_xlfn.XLOOKUP(demandas[[#This Row],[SquadID]],squads!A:A,squads!B:B,)</f>
        <v>Squad Pagamentos</v>
      </c>
      <c r="L150" s="2" t="str">
        <f>VLOOKUP(demandas[[#This Row],[StatusID]],status!A:B,2,)</f>
        <v>Aberto</v>
      </c>
    </row>
    <row r="151" spans="1:12" x14ac:dyDescent="0.25">
      <c r="A151">
        <v>150</v>
      </c>
      <c r="B151" s="1" t="s">
        <v>159</v>
      </c>
      <c r="C151">
        <v>4</v>
      </c>
      <c r="D151">
        <v>4</v>
      </c>
      <c r="E151">
        <v>3</v>
      </c>
      <c r="F151">
        <v>3</v>
      </c>
      <c r="G151">
        <v>10</v>
      </c>
      <c r="H151" s="2">
        <v>45664</v>
      </c>
      <c r="I151" s="2">
        <v>45687</v>
      </c>
      <c r="J151" s="2"/>
      <c r="K151" s="2" t="str">
        <f>_xlfn.XLOOKUP(demandas[[#This Row],[SquadID]],squads!A:A,squads!B:B,)</f>
        <v>Squad Segurança</v>
      </c>
      <c r="L151" s="2" t="str">
        <f>VLOOKUP(demandas[[#This Row],[StatusID]],status!A:B,2,)</f>
        <v>Bloqueado</v>
      </c>
    </row>
    <row r="152" spans="1:12" x14ac:dyDescent="0.25">
      <c r="A152">
        <v>151</v>
      </c>
      <c r="B152" s="1" t="s">
        <v>160</v>
      </c>
      <c r="C152">
        <v>3</v>
      </c>
      <c r="D152">
        <v>3</v>
      </c>
      <c r="E152">
        <v>2</v>
      </c>
      <c r="F152">
        <v>3</v>
      </c>
      <c r="G152">
        <v>9</v>
      </c>
      <c r="H152" s="2">
        <v>45634</v>
      </c>
      <c r="I152" s="2">
        <v>45643</v>
      </c>
      <c r="J152" s="2">
        <v>45641</v>
      </c>
      <c r="K152" s="2" t="str">
        <f>_xlfn.XLOOKUP(demandas[[#This Row],[SquadID]],squads!A:A,squads!B:B,)</f>
        <v>Squad Onboarding</v>
      </c>
      <c r="L152" s="2" t="str">
        <f>VLOOKUP(demandas[[#This Row],[StatusID]],status!A:B,2,)</f>
        <v>Concluído</v>
      </c>
    </row>
    <row r="153" spans="1:12" x14ac:dyDescent="0.25">
      <c r="A153">
        <v>152</v>
      </c>
      <c r="B153" s="1" t="s">
        <v>161</v>
      </c>
      <c r="C153">
        <v>2</v>
      </c>
      <c r="D153">
        <v>2</v>
      </c>
      <c r="E153">
        <v>4</v>
      </c>
      <c r="F153">
        <v>6</v>
      </c>
      <c r="G153">
        <v>6</v>
      </c>
      <c r="H153" s="2">
        <v>45445</v>
      </c>
      <c r="I153" s="2">
        <v>45478</v>
      </c>
      <c r="J153" s="2"/>
      <c r="K153" s="2" t="str">
        <f>_xlfn.XLOOKUP(demandas[[#This Row],[SquadID]],squads!A:A,squads!B:B,)</f>
        <v>Squad Crédito</v>
      </c>
      <c r="L153" s="2" t="str">
        <f>VLOOKUP(demandas[[#This Row],[StatusID]],status!A:B,2,)</f>
        <v>Em Andamento</v>
      </c>
    </row>
    <row r="154" spans="1:12" x14ac:dyDescent="0.25">
      <c r="A154">
        <v>153</v>
      </c>
      <c r="B154" s="1" t="s">
        <v>162</v>
      </c>
      <c r="C154">
        <v>1</v>
      </c>
      <c r="D154">
        <v>3</v>
      </c>
      <c r="E154">
        <v>2</v>
      </c>
      <c r="F154">
        <v>6</v>
      </c>
      <c r="G154">
        <v>3</v>
      </c>
      <c r="H154" s="2">
        <v>45693</v>
      </c>
      <c r="I154" s="2">
        <v>45703</v>
      </c>
      <c r="J154" s="2">
        <v>45708</v>
      </c>
      <c r="K154" s="2" t="str">
        <f>_xlfn.XLOOKUP(demandas[[#This Row],[SquadID]],squads!A:A,squads!B:B,)</f>
        <v>Squad Pagamentos</v>
      </c>
      <c r="L154" s="2" t="str">
        <f>VLOOKUP(demandas[[#This Row],[StatusID]],status!A:B,2,)</f>
        <v>Concluído</v>
      </c>
    </row>
    <row r="155" spans="1:12" x14ac:dyDescent="0.25">
      <c r="A155">
        <v>154</v>
      </c>
      <c r="B155" s="1" t="s">
        <v>163</v>
      </c>
      <c r="C155">
        <v>3</v>
      </c>
      <c r="D155">
        <v>3</v>
      </c>
      <c r="E155">
        <v>3</v>
      </c>
      <c r="F155">
        <v>4</v>
      </c>
      <c r="G155">
        <v>9</v>
      </c>
      <c r="H155" s="2">
        <v>45387</v>
      </c>
      <c r="I155" s="2">
        <v>45411</v>
      </c>
      <c r="J155" s="2">
        <v>45397</v>
      </c>
      <c r="K155" s="2" t="str">
        <f>_xlfn.XLOOKUP(demandas[[#This Row],[SquadID]],squads!A:A,squads!B:B,)</f>
        <v>Squad Onboarding</v>
      </c>
      <c r="L155" s="2" t="str">
        <f>VLOOKUP(demandas[[#This Row],[StatusID]],status!A:B,2,)</f>
        <v>Concluído</v>
      </c>
    </row>
    <row r="156" spans="1:12" x14ac:dyDescent="0.25">
      <c r="A156">
        <v>155</v>
      </c>
      <c r="B156" s="1" t="s">
        <v>164</v>
      </c>
      <c r="C156">
        <v>8</v>
      </c>
      <c r="D156">
        <v>3</v>
      </c>
      <c r="E156">
        <v>2</v>
      </c>
      <c r="F156">
        <v>4</v>
      </c>
      <c r="G156">
        <v>22</v>
      </c>
      <c r="H156" s="2">
        <v>45523</v>
      </c>
      <c r="I156" s="2">
        <v>45533</v>
      </c>
      <c r="J156" s="2">
        <v>45525</v>
      </c>
      <c r="K156" s="2" t="str">
        <f>_xlfn.XLOOKUP(demandas[[#This Row],[SquadID]],squads!A:A,squads!B:B,)</f>
        <v>Squad Infraestrutura</v>
      </c>
      <c r="L156" s="2" t="str">
        <f>VLOOKUP(demandas[[#This Row],[StatusID]],status!A:B,2,)</f>
        <v>Concluído</v>
      </c>
    </row>
    <row r="157" spans="1:12" x14ac:dyDescent="0.25">
      <c r="A157">
        <v>156</v>
      </c>
      <c r="B157" s="1" t="s">
        <v>165</v>
      </c>
      <c r="C157">
        <v>6</v>
      </c>
      <c r="D157">
        <v>3</v>
      </c>
      <c r="E157">
        <v>4</v>
      </c>
      <c r="F157">
        <v>5</v>
      </c>
      <c r="G157">
        <v>16</v>
      </c>
      <c r="H157" s="2">
        <v>45636</v>
      </c>
      <c r="I157" s="2">
        <v>45666</v>
      </c>
      <c r="J157" s="2">
        <v>45642</v>
      </c>
      <c r="K157" s="2" t="str">
        <f>_xlfn.XLOOKUP(demandas[[#This Row],[SquadID]],squads!A:A,squads!B:B,)</f>
        <v>Squad Integrações</v>
      </c>
      <c r="L157" s="2" t="str">
        <f>VLOOKUP(demandas[[#This Row],[StatusID]],status!A:B,2,)</f>
        <v>Concluído</v>
      </c>
    </row>
    <row r="158" spans="1:12" x14ac:dyDescent="0.25">
      <c r="A158">
        <v>157</v>
      </c>
      <c r="B158" s="1" t="s">
        <v>166</v>
      </c>
      <c r="C158">
        <v>6</v>
      </c>
      <c r="D158">
        <v>3</v>
      </c>
      <c r="E158">
        <v>3</v>
      </c>
      <c r="F158">
        <v>5</v>
      </c>
      <c r="G158">
        <v>18</v>
      </c>
      <c r="H158" s="2">
        <v>45740</v>
      </c>
      <c r="I158" s="2">
        <v>45758</v>
      </c>
      <c r="J158" s="2">
        <v>45748</v>
      </c>
      <c r="K158" s="2" t="str">
        <f>_xlfn.XLOOKUP(demandas[[#This Row],[SquadID]],squads!A:A,squads!B:B,)</f>
        <v>Squad Integrações</v>
      </c>
      <c r="L158" s="2" t="str">
        <f>VLOOKUP(demandas[[#This Row],[StatusID]],status!A:B,2,)</f>
        <v>Concluído</v>
      </c>
    </row>
    <row r="159" spans="1:12" x14ac:dyDescent="0.25">
      <c r="A159">
        <v>158</v>
      </c>
      <c r="B159" s="1" t="s">
        <v>167</v>
      </c>
      <c r="C159">
        <v>5</v>
      </c>
      <c r="D159">
        <v>5</v>
      </c>
      <c r="E159">
        <v>3</v>
      </c>
      <c r="F159">
        <v>4</v>
      </c>
      <c r="G159">
        <v>13</v>
      </c>
      <c r="H159" s="2">
        <v>45536</v>
      </c>
      <c r="I159" s="2">
        <v>45558</v>
      </c>
      <c r="J159" s="2">
        <v>45573</v>
      </c>
      <c r="K159" s="2" t="str">
        <f>_xlfn.XLOOKUP(demandas[[#This Row],[SquadID]],squads!A:A,squads!B:B,)</f>
        <v>Squad Dados</v>
      </c>
      <c r="L159" s="2" t="str">
        <f>VLOOKUP(demandas[[#This Row],[StatusID]],status!A:B,2,)</f>
        <v>Cancelado</v>
      </c>
    </row>
    <row r="160" spans="1:12" x14ac:dyDescent="0.25">
      <c r="A160">
        <v>159</v>
      </c>
      <c r="B160" s="1" t="s">
        <v>168</v>
      </c>
      <c r="C160">
        <v>2</v>
      </c>
      <c r="D160">
        <v>3</v>
      </c>
      <c r="E160">
        <v>3</v>
      </c>
      <c r="F160">
        <v>3</v>
      </c>
      <c r="G160">
        <v>5</v>
      </c>
      <c r="H160" s="2">
        <v>45764</v>
      </c>
      <c r="I160" s="2">
        <v>45786</v>
      </c>
      <c r="J160" s="2">
        <v>45778</v>
      </c>
      <c r="K160" s="2" t="str">
        <f>_xlfn.XLOOKUP(demandas[[#This Row],[SquadID]],squads!A:A,squads!B:B,)</f>
        <v>Squad Crédito</v>
      </c>
      <c r="L160" s="2" t="str">
        <f>VLOOKUP(demandas[[#This Row],[StatusID]],status!A:B,2,)</f>
        <v>Concluído</v>
      </c>
    </row>
    <row r="161" spans="1:12" x14ac:dyDescent="0.25">
      <c r="A161">
        <v>160</v>
      </c>
      <c r="B161" s="1" t="s">
        <v>169</v>
      </c>
      <c r="C161">
        <v>7</v>
      </c>
      <c r="D161">
        <v>4</v>
      </c>
      <c r="E161">
        <v>4</v>
      </c>
      <c r="F161">
        <v>1</v>
      </c>
      <c r="G161">
        <v>20</v>
      </c>
      <c r="H161" s="2">
        <v>45345</v>
      </c>
      <c r="I161" s="2">
        <v>45380</v>
      </c>
      <c r="J161" s="2"/>
      <c r="K161" s="2" t="str">
        <f>_xlfn.XLOOKUP(demandas[[#This Row],[SquadID]],squads!A:A,squads!B:B,)</f>
        <v>Squad Experiência</v>
      </c>
      <c r="L161" s="2" t="str">
        <f>VLOOKUP(demandas[[#This Row],[StatusID]],status!A:B,2,)</f>
        <v>Bloqueado</v>
      </c>
    </row>
    <row r="162" spans="1:12" x14ac:dyDescent="0.25">
      <c r="A162">
        <v>161</v>
      </c>
      <c r="B162" s="1" t="s">
        <v>170</v>
      </c>
      <c r="C162">
        <v>7</v>
      </c>
      <c r="D162">
        <v>3</v>
      </c>
      <c r="E162">
        <v>3</v>
      </c>
      <c r="F162">
        <v>3</v>
      </c>
      <c r="G162">
        <v>19</v>
      </c>
      <c r="H162" s="2">
        <v>45583</v>
      </c>
      <c r="I162" s="2">
        <v>45602</v>
      </c>
      <c r="J162" s="2">
        <v>45600</v>
      </c>
      <c r="K162" s="2" t="str">
        <f>_xlfn.XLOOKUP(demandas[[#This Row],[SquadID]],squads!A:A,squads!B:B,)</f>
        <v>Squad Experiência</v>
      </c>
      <c r="L162" s="2" t="str">
        <f>VLOOKUP(demandas[[#This Row],[StatusID]],status!A:B,2,)</f>
        <v>Concluído</v>
      </c>
    </row>
    <row r="163" spans="1:12" x14ac:dyDescent="0.25">
      <c r="A163">
        <v>162</v>
      </c>
      <c r="B163" s="1" t="s">
        <v>171</v>
      </c>
      <c r="C163">
        <v>7</v>
      </c>
      <c r="D163">
        <v>3</v>
      </c>
      <c r="E163">
        <v>1</v>
      </c>
      <c r="F163">
        <v>5</v>
      </c>
      <c r="G163">
        <v>20</v>
      </c>
      <c r="H163" s="2">
        <v>45649</v>
      </c>
      <c r="I163" s="2">
        <v>45652</v>
      </c>
      <c r="J163" s="2">
        <v>45651</v>
      </c>
      <c r="K163" s="2" t="str">
        <f>_xlfn.XLOOKUP(demandas[[#This Row],[SquadID]],squads!A:A,squads!B:B,)</f>
        <v>Squad Experiência</v>
      </c>
      <c r="L163" s="2" t="str">
        <f>VLOOKUP(demandas[[#This Row],[StatusID]],status!A:B,2,)</f>
        <v>Concluído</v>
      </c>
    </row>
    <row r="164" spans="1:12" x14ac:dyDescent="0.25">
      <c r="A164">
        <v>163</v>
      </c>
      <c r="B164" s="1" t="s">
        <v>172</v>
      </c>
      <c r="C164">
        <v>3</v>
      </c>
      <c r="D164">
        <v>3</v>
      </c>
      <c r="E164">
        <v>1</v>
      </c>
      <c r="F164">
        <v>1</v>
      </c>
      <c r="G164">
        <v>8</v>
      </c>
      <c r="H164" s="2">
        <v>45393</v>
      </c>
      <c r="I164" s="2">
        <v>45401</v>
      </c>
      <c r="J164" s="2">
        <v>45398</v>
      </c>
      <c r="K164" s="2" t="str">
        <f>_xlfn.XLOOKUP(demandas[[#This Row],[SquadID]],squads!A:A,squads!B:B,)</f>
        <v>Squad Onboarding</v>
      </c>
      <c r="L164" s="2" t="str">
        <f>VLOOKUP(demandas[[#This Row],[StatusID]],status!A:B,2,)</f>
        <v>Concluído</v>
      </c>
    </row>
    <row r="165" spans="1:12" x14ac:dyDescent="0.25">
      <c r="A165">
        <v>164</v>
      </c>
      <c r="B165" s="1" t="s">
        <v>173</v>
      </c>
      <c r="C165">
        <v>6</v>
      </c>
      <c r="D165">
        <v>1</v>
      </c>
      <c r="E165">
        <v>2</v>
      </c>
      <c r="F165">
        <v>4</v>
      </c>
      <c r="G165">
        <v>17</v>
      </c>
      <c r="H165" s="2">
        <v>45297</v>
      </c>
      <c r="I165" s="2">
        <v>45306</v>
      </c>
      <c r="J165" s="2"/>
      <c r="K165" s="2" t="str">
        <f>_xlfn.XLOOKUP(demandas[[#This Row],[SquadID]],squads!A:A,squads!B:B,)</f>
        <v>Squad Integrações</v>
      </c>
      <c r="L165" s="2" t="str">
        <f>VLOOKUP(demandas[[#This Row],[StatusID]],status!A:B,2,)</f>
        <v>Aberto</v>
      </c>
    </row>
    <row r="166" spans="1:12" x14ac:dyDescent="0.25">
      <c r="A166">
        <v>165</v>
      </c>
      <c r="B166" s="1" t="s">
        <v>174</v>
      </c>
      <c r="C166">
        <v>7</v>
      </c>
      <c r="D166">
        <v>3</v>
      </c>
      <c r="E166">
        <v>3</v>
      </c>
      <c r="F166">
        <v>4</v>
      </c>
      <c r="G166">
        <v>21</v>
      </c>
      <c r="H166" s="2">
        <v>45725</v>
      </c>
      <c r="I166" s="2">
        <v>45744</v>
      </c>
      <c r="J166" s="2">
        <v>45729</v>
      </c>
      <c r="K166" s="2" t="str">
        <f>_xlfn.XLOOKUP(demandas[[#This Row],[SquadID]],squads!A:A,squads!B:B,)</f>
        <v>Squad Experiência</v>
      </c>
      <c r="L166" s="2" t="str">
        <f>VLOOKUP(demandas[[#This Row],[StatusID]],status!A:B,2,)</f>
        <v>Concluído</v>
      </c>
    </row>
    <row r="167" spans="1:12" x14ac:dyDescent="0.25">
      <c r="A167">
        <v>166</v>
      </c>
      <c r="B167" s="1" t="s">
        <v>175</v>
      </c>
      <c r="C167">
        <v>2</v>
      </c>
      <c r="D167">
        <v>3</v>
      </c>
      <c r="E167">
        <v>3</v>
      </c>
      <c r="F167">
        <v>3</v>
      </c>
      <c r="G167">
        <v>4</v>
      </c>
      <c r="H167" s="2">
        <v>45405</v>
      </c>
      <c r="I167" s="2">
        <v>45430</v>
      </c>
      <c r="J167" s="2">
        <v>45422</v>
      </c>
      <c r="K167" s="2" t="str">
        <f>_xlfn.XLOOKUP(demandas[[#This Row],[SquadID]],squads!A:A,squads!B:B,)</f>
        <v>Squad Crédito</v>
      </c>
      <c r="L167" s="2" t="str">
        <f>VLOOKUP(demandas[[#This Row],[StatusID]],status!A:B,2,)</f>
        <v>Concluído</v>
      </c>
    </row>
    <row r="168" spans="1:12" x14ac:dyDescent="0.25">
      <c r="A168">
        <v>167</v>
      </c>
      <c r="B168" s="1" t="s">
        <v>176</v>
      </c>
      <c r="C168">
        <v>2</v>
      </c>
      <c r="D168">
        <v>3</v>
      </c>
      <c r="E168">
        <v>2</v>
      </c>
      <c r="F168">
        <v>2</v>
      </c>
      <c r="G168">
        <v>6</v>
      </c>
      <c r="H168" s="2">
        <v>45653</v>
      </c>
      <c r="I168" s="2">
        <v>45664</v>
      </c>
      <c r="J168" s="2">
        <v>45664</v>
      </c>
      <c r="K168" s="2" t="str">
        <f>_xlfn.XLOOKUP(demandas[[#This Row],[SquadID]],squads!A:A,squads!B:B,)</f>
        <v>Squad Crédito</v>
      </c>
      <c r="L168" s="2" t="str">
        <f>VLOOKUP(demandas[[#This Row],[StatusID]],status!A:B,2,)</f>
        <v>Concluído</v>
      </c>
    </row>
    <row r="169" spans="1:12" x14ac:dyDescent="0.25">
      <c r="A169">
        <v>168</v>
      </c>
      <c r="B169" s="1" t="s">
        <v>177</v>
      </c>
      <c r="C169">
        <v>5</v>
      </c>
      <c r="D169">
        <v>2</v>
      </c>
      <c r="E169">
        <v>3</v>
      </c>
      <c r="F169">
        <v>6</v>
      </c>
      <c r="G169">
        <v>15</v>
      </c>
      <c r="H169" s="2">
        <v>45811</v>
      </c>
      <c r="I169" s="2">
        <v>45829</v>
      </c>
      <c r="J169" s="2"/>
      <c r="K169" s="2" t="str">
        <f>_xlfn.XLOOKUP(demandas[[#This Row],[SquadID]],squads!A:A,squads!B:B,)</f>
        <v>Squad Dados</v>
      </c>
      <c r="L169" s="2" t="str">
        <f>VLOOKUP(demandas[[#This Row],[StatusID]],status!A:B,2,)</f>
        <v>Em Andamento</v>
      </c>
    </row>
    <row r="170" spans="1:12" x14ac:dyDescent="0.25">
      <c r="A170">
        <v>169</v>
      </c>
      <c r="B170" s="1" t="s">
        <v>178</v>
      </c>
      <c r="C170">
        <v>1</v>
      </c>
      <c r="D170">
        <v>3</v>
      </c>
      <c r="E170">
        <v>3</v>
      </c>
      <c r="F170">
        <v>2</v>
      </c>
      <c r="G170">
        <v>3</v>
      </c>
      <c r="H170" s="2">
        <v>45308</v>
      </c>
      <c r="I170" s="2">
        <v>45331</v>
      </c>
      <c r="J170" s="2">
        <v>45330</v>
      </c>
      <c r="K170" s="2" t="str">
        <f>_xlfn.XLOOKUP(demandas[[#This Row],[SquadID]],squads!A:A,squads!B:B,)</f>
        <v>Squad Pagamentos</v>
      </c>
      <c r="L170" s="2" t="str">
        <f>VLOOKUP(demandas[[#This Row],[StatusID]],status!A:B,2,)</f>
        <v>Concluído</v>
      </c>
    </row>
    <row r="171" spans="1:12" x14ac:dyDescent="0.25">
      <c r="A171">
        <v>170</v>
      </c>
      <c r="B171" s="1" t="s">
        <v>179</v>
      </c>
      <c r="C171">
        <v>1</v>
      </c>
      <c r="D171">
        <v>3</v>
      </c>
      <c r="E171">
        <v>3</v>
      </c>
      <c r="F171">
        <v>4</v>
      </c>
      <c r="G171">
        <v>1</v>
      </c>
      <c r="H171" s="2">
        <v>45337</v>
      </c>
      <c r="I171" s="2">
        <v>45360</v>
      </c>
      <c r="J171" s="2">
        <v>45363</v>
      </c>
      <c r="K171" s="2" t="str">
        <f>_xlfn.XLOOKUP(demandas[[#This Row],[SquadID]],squads!A:A,squads!B:B,)</f>
        <v>Squad Pagamentos</v>
      </c>
      <c r="L171" s="2" t="str">
        <f>VLOOKUP(demandas[[#This Row],[StatusID]],status!A:B,2,)</f>
        <v>Concluído</v>
      </c>
    </row>
    <row r="172" spans="1:12" x14ac:dyDescent="0.25">
      <c r="A172">
        <v>171</v>
      </c>
      <c r="B172" s="1" t="s">
        <v>180</v>
      </c>
      <c r="C172">
        <v>6</v>
      </c>
      <c r="D172">
        <v>2</v>
      </c>
      <c r="E172">
        <v>3</v>
      </c>
      <c r="F172">
        <v>4</v>
      </c>
      <c r="G172">
        <v>18</v>
      </c>
      <c r="H172" s="2">
        <v>45478</v>
      </c>
      <c r="I172" s="2">
        <v>45498</v>
      </c>
      <c r="J172" s="2"/>
      <c r="K172" s="2" t="str">
        <f>_xlfn.XLOOKUP(demandas[[#This Row],[SquadID]],squads!A:A,squads!B:B,)</f>
        <v>Squad Integrações</v>
      </c>
      <c r="L172" s="2" t="str">
        <f>VLOOKUP(demandas[[#This Row],[StatusID]],status!A:B,2,)</f>
        <v>Em Andamento</v>
      </c>
    </row>
    <row r="173" spans="1:12" x14ac:dyDescent="0.25">
      <c r="A173">
        <v>172</v>
      </c>
      <c r="B173" s="1" t="s">
        <v>181</v>
      </c>
      <c r="C173">
        <v>8</v>
      </c>
      <c r="D173">
        <v>5</v>
      </c>
      <c r="E173">
        <v>1</v>
      </c>
      <c r="F173">
        <v>1</v>
      </c>
      <c r="G173">
        <v>22</v>
      </c>
      <c r="H173" s="2">
        <v>45334</v>
      </c>
      <c r="I173" s="2">
        <v>45342</v>
      </c>
      <c r="J173" s="2">
        <v>45342</v>
      </c>
      <c r="K173" s="2" t="str">
        <f>_xlfn.XLOOKUP(demandas[[#This Row],[SquadID]],squads!A:A,squads!B:B,)</f>
        <v>Squad Infraestrutura</v>
      </c>
      <c r="L173" s="2" t="str">
        <f>VLOOKUP(demandas[[#This Row],[StatusID]],status!A:B,2,)</f>
        <v>Cancelado</v>
      </c>
    </row>
    <row r="174" spans="1:12" x14ac:dyDescent="0.25">
      <c r="A174">
        <v>173</v>
      </c>
      <c r="B174" s="1" t="s">
        <v>182</v>
      </c>
      <c r="C174">
        <v>1</v>
      </c>
      <c r="D174">
        <v>2</v>
      </c>
      <c r="E174">
        <v>3</v>
      </c>
      <c r="F174">
        <v>1</v>
      </c>
      <c r="G174">
        <v>1</v>
      </c>
      <c r="H174" s="2">
        <v>45631</v>
      </c>
      <c r="I174" s="2">
        <v>45653</v>
      </c>
      <c r="J174" s="2"/>
      <c r="K174" s="2" t="str">
        <f>_xlfn.XLOOKUP(demandas[[#This Row],[SquadID]],squads!A:A,squads!B:B,)</f>
        <v>Squad Pagamentos</v>
      </c>
      <c r="L174" s="2" t="str">
        <f>VLOOKUP(demandas[[#This Row],[StatusID]],status!A:B,2,)</f>
        <v>Em Andamento</v>
      </c>
    </row>
    <row r="175" spans="1:12" x14ac:dyDescent="0.25">
      <c r="A175">
        <v>174</v>
      </c>
      <c r="B175" s="1" t="s">
        <v>183</v>
      </c>
      <c r="C175">
        <v>3</v>
      </c>
      <c r="D175">
        <v>3</v>
      </c>
      <c r="E175">
        <v>3</v>
      </c>
      <c r="F175">
        <v>2</v>
      </c>
      <c r="G175">
        <v>8</v>
      </c>
      <c r="H175" s="2">
        <v>45639</v>
      </c>
      <c r="I175" s="2">
        <v>45659</v>
      </c>
      <c r="J175" s="2">
        <v>45656</v>
      </c>
      <c r="K175" s="2" t="str">
        <f>_xlfn.XLOOKUP(demandas[[#This Row],[SquadID]],squads!A:A,squads!B:B,)</f>
        <v>Squad Onboarding</v>
      </c>
      <c r="L175" s="2" t="str">
        <f>VLOOKUP(demandas[[#This Row],[StatusID]],status!A:B,2,)</f>
        <v>Concluído</v>
      </c>
    </row>
    <row r="176" spans="1:12" x14ac:dyDescent="0.25">
      <c r="A176">
        <v>175</v>
      </c>
      <c r="B176" s="1" t="s">
        <v>184</v>
      </c>
      <c r="C176">
        <v>6</v>
      </c>
      <c r="D176">
        <v>3</v>
      </c>
      <c r="E176">
        <v>3</v>
      </c>
      <c r="F176">
        <v>1</v>
      </c>
      <c r="G176">
        <v>18</v>
      </c>
      <c r="H176" s="2">
        <v>45476</v>
      </c>
      <c r="I176" s="2">
        <v>45498</v>
      </c>
      <c r="J176" s="2">
        <v>45498</v>
      </c>
      <c r="K176" s="2" t="str">
        <f>_xlfn.XLOOKUP(demandas[[#This Row],[SquadID]],squads!A:A,squads!B:B,)</f>
        <v>Squad Integrações</v>
      </c>
      <c r="L176" s="2" t="str">
        <f>VLOOKUP(demandas[[#This Row],[StatusID]],status!A:B,2,)</f>
        <v>Concluído</v>
      </c>
    </row>
    <row r="177" spans="1:12" x14ac:dyDescent="0.25">
      <c r="A177">
        <v>176</v>
      </c>
      <c r="B177" s="1" t="s">
        <v>185</v>
      </c>
      <c r="C177">
        <v>2</v>
      </c>
      <c r="D177">
        <v>3</v>
      </c>
      <c r="E177">
        <v>3</v>
      </c>
      <c r="F177">
        <v>2</v>
      </c>
      <c r="G177">
        <v>6</v>
      </c>
      <c r="H177" s="2">
        <v>45746</v>
      </c>
      <c r="I177" s="2">
        <v>45769</v>
      </c>
      <c r="J177" s="2">
        <v>45784</v>
      </c>
      <c r="K177" s="2" t="str">
        <f>_xlfn.XLOOKUP(demandas[[#This Row],[SquadID]],squads!A:A,squads!B:B,)</f>
        <v>Squad Crédito</v>
      </c>
      <c r="L177" s="2" t="str">
        <f>VLOOKUP(demandas[[#This Row],[StatusID]],status!A:B,2,)</f>
        <v>Concluído</v>
      </c>
    </row>
    <row r="178" spans="1:12" x14ac:dyDescent="0.25">
      <c r="A178">
        <v>177</v>
      </c>
      <c r="B178" s="1" t="s">
        <v>186</v>
      </c>
      <c r="C178">
        <v>5</v>
      </c>
      <c r="D178">
        <v>3</v>
      </c>
      <c r="E178">
        <v>3</v>
      </c>
      <c r="F178">
        <v>3</v>
      </c>
      <c r="G178">
        <v>13</v>
      </c>
      <c r="H178" s="2">
        <v>45368</v>
      </c>
      <c r="I178" s="2">
        <v>45392</v>
      </c>
      <c r="J178" s="2">
        <v>45403</v>
      </c>
      <c r="K178" s="2" t="str">
        <f>_xlfn.XLOOKUP(demandas[[#This Row],[SquadID]],squads!A:A,squads!B:B,)</f>
        <v>Squad Dados</v>
      </c>
      <c r="L178" s="2" t="str">
        <f>VLOOKUP(demandas[[#This Row],[StatusID]],status!A:B,2,)</f>
        <v>Concluído</v>
      </c>
    </row>
    <row r="179" spans="1:12" x14ac:dyDescent="0.25">
      <c r="A179">
        <v>178</v>
      </c>
      <c r="B179" s="1" t="s">
        <v>187</v>
      </c>
      <c r="C179">
        <v>8</v>
      </c>
      <c r="D179">
        <v>2</v>
      </c>
      <c r="E179">
        <v>2</v>
      </c>
      <c r="F179">
        <v>3</v>
      </c>
      <c r="G179">
        <v>23</v>
      </c>
      <c r="H179" s="2">
        <v>45327</v>
      </c>
      <c r="I179" s="2">
        <v>45337</v>
      </c>
      <c r="J179" s="2"/>
      <c r="K179" s="2" t="str">
        <f>_xlfn.XLOOKUP(demandas[[#This Row],[SquadID]],squads!A:A,squads!B:B,)</f>
        <v>Squad Infraestrutura</v>
      </c>
      <c r="L179" s="2" t="str">
        <f>VLOOKUP(demandas[[#This Row],[StatusID]],status!A:B,2,)</f>
        <v>Em Andamento</v>
      </c>
    </row>
    <row r="180" spans="1:12" x14ac:dyDescent="0.25">
      <c r="A180">
        <v>179</v>
      </c>
      <c r="B180" s="1" t="s">
        <v>188</v>
      </c>
      <c r="C180">
        <v>5</v>
      </c>
      <c r="D180">
        <v>5</v>
      </c>
      <c r="E180">
        <v>3</v>
      </c>
      <c r="F180">
        <v>5</v>
      </c>
      <c r="G180">
        <v>13</v>
      </c>
      <c r="H180" s="2">
        <v>45449</v>
      </c>
      <c r="I180" s="2">
        <v>45474</v>
      </c>
      <c r="J180" s="2">
        <v>45474</v>
      </c>
      <c r="K180" s="2" t="str">
        <f>_xlfn.XLOOKUP(demandas[[#This Row],[SquadID]],squads!A:A,squads!B:B,)</f>
        <v>Squad Dados</v>
      </c>
      <c r="L180" s="2" t="str">
        <f>VLOOKUP(demandas[[#This Row],[StatusID]],status!A:B,2,)</f>
        <v>Cancelado</v>
      </c>
    </row>
    <row r="181" spans="1:12" x14ac:dyDescent="0.25">
      <c r="A181">
        <v>180</v>
      </c>
      <c r="B181" s="1" t="s">
        <v>189</v>
      </c>
      <c r="C181">
        <v>5</v>
      </c>
      <c r="D181">
        <v>5</v>
      </c>
      <c r="E181">
        <v>3</v>
      </c>
      <c r="F181">
        <v>2</v>
      </c>
      <c r="G181">
        <v>15</v>
      </c>
      <c r="H181" s="2">
        <v>45577</v>
      </c>
      <c r="I181" s="2">
        <v>45598</v>
      </c>
      <c r="J181" s="2">
        <v>45583</v>
      </c>
      <c r="K181" s="2" t="str">
        <f>_xlfn.XLOOKUP(demandas[[#This Row],[SquadID]],squads!A:A,squads!B:B,)</f>
        <v>Squad Dados</v>
      </c>
      <c r="L181" s="2" t="str">
        <f>VLOOKUP(demandas[[#This Row],[StatusID]],status!A:B,2,)</f>
        <v>Cancelado</v>
      </c>
    </row>
    <row r="182" spans="1:12" x14ac:dyDescent="0.25">
      <c r="A182">
        <v>181</v>
      </c>
      <c r="B182" s="1" t="s">
        <v>190</v>
      </c>
      <c r="C182">
        <v>5</v>
      </c>
      <c r="D182">
        <v>5</v>
      </c>
      <c r="E182">
        <v>4</v>
      </c>
      <c r="F182">
        <v>1</v>
      </c>
      <c r="G182">
        <v>14</v>
      </c>
      <c r="H182" s="2">
        <v>45748</v>
      </c>
      <c r="I182" s="2">
        <v>45779</v>
      </c>
      <c r="J182" s="2">
        <v>45778</v>
      </c>
      <c r="K182" s="2" t="str">
        <f>_xlfn.XLOOKUP(demandas[[#This Row],[SquadID]],squads!A:A,squads!B:B,)</f>
        <v>Squad Dados</v>
      </c>
      <c r="L182" s="2" t="str">
        <f>VLOOKUP(demandas[[#This Row],[StatusID]],status!A:B,2,)</f>
        <v>Cancelado</v>
      </c>
    </row>
    <row r="183" spans="1:12" x14ac:dyDescent="0.25">
      <c r="A183">
        <v>182</v>
      </c>
      <c r="B183" s="1" t="s">
        <v>191</v>
      </c>
      <c r="C183">
        <v>2</v>
      </c>
      <c r="D183">
        <v>3</v>
      </c>
      <c r="E183">
        <v>2</v>
      </c>
      <c r="F183">
        <v>1</v>
      </c>
      <c r="G183">
        <v>4</v>
      </c>
      <c r="H183" s="2">
        <v>45747</v>
      </c>
      <c r="I183" s="2">
        <v>45756</v>
      </c>
      <c r="J183" s="2">
        <v>45762</v>
      </c>
      <c r="K183" s="2" t="str">
        <f>_xlfn.XLOOKUP(demandas[[#This Row],[SquadID]],squads!A:A,squads!B:B,)</f>
        <v>Squad Crédito</v>
      </c>
      <c r="L183" s="2" t="str">
        <f>VLOOKUP(demandas[[#This Row],[StatusID]],status!A:B,2,)</f>
        <v>Concluído</v>
      </c>
    </row>
    <row r="184" spans="1:12" x14ac:dyDescent="0.25">
      <c r="A184">
        <v>183</v>
      </c>
      <c r="B184" s="1" t="s">
        <v>192</v>
      </c>
      <c r="C184">
        <v>3</v>
      </c>
      <c r="D184">
        <v>3</v>
      </c>
      <c r="E184">
        <v>1</v>
      </c>
      <c r="F184">
        <v>3</v>
      </c>
      <c r="G184">
        <v>8</v>
      </c>
      <c r="H184" s="2">
        <v>45453</v>
      </c>
      <c r="I184" s="2">
        <v>45458</v>
      </c>
      <c r="J184" s="2">
        <v>45454</v>
      </c>
      <c r="K184" s="2" t="str">
        <f>_xlfn.XLOOKUP(demandas[[#This Row],[SquadID]],squads!A:A,squads!B:B,)</f>
        <v>Squad Onboarding</v>
      </c>
      <c r="L184" s="2" t="str">
        <f>VLOOKUP(demandas[[#This Row],[StatusID]],status!A:B,2,)</f>
        <v>Concluído</v>
      </c>
    </row>
    <row r="185" spans="1:12" x14ac:dyDescent="0.25">
      <c r="A185">
        <v>184</v>
      </c>
      <c r="B185" s="1" t="s">
        <v>193</v>
      </c>
      <c r="C185">
        <v>6</v>
      </c>
      <c r="D185">
        <v>3</v>
      </c>
      <c r="E185">
        <v>2</v>
      </c>
      <c r="F185">
        <v>3</v>
      </c>
      <c r="G185">
        <v>17</v>
      </c>
      <c r="H185" s="2">
        <v>45669</v>
      </c>
      <c r="I185" s="2">
        <v>45684</v>
      </c>
      <c r="J185" s="2">
        <v>45679</v>
      </c>
      <c r="K185" s="2" t="str">
        <f>_xlfn.XLOOKUP(demandas[[#This Row],[SquadID]],squads!A:A,squads!B:B,)</f>
        <v>Squad Integrações</v>
      </c>
      <c r="L185" s="2" t="str">
        <f>VLOOKUP(demandas[[#This Row],[StatusID]],status!A:B,2,)</f>
        <v>Concluído</v>
      </c>
    </row>
    <row r="186" spans="1:12" x14ac:dyDescent="0.25">
      <c r="A186">
        <v>185</v>
      </c>
      <c r="B186" s="1" t="s">
        <v>194</v>
      </c>
      <c r="C186">
        <v>1</v>
      </c>
      <c r="D186">
        <v>3</v>
      </c>
      <c r="E186">
        <v>3</v>
      </c>
      <c r="F186">
        <v>4</v>
      </c>
      <c r="G186">
        <v>2</v>
      </c>
      <c r="H186" s="2">
        <v>45712</v>
      </c>
      <c r="I186" s="2">
        <v>45736</v>
      </c>
      <c r="J186" s="2">
        <v>45723</v>
      </c>
      <c r="K186" s="2" t="str">
        <f>_xlfn.XLOOKUP(demandas[[#This Row],[SquadID]],squads!A:A,squads!B:B,)</f>
        <v>Squad Pagamentos</v>
      </c>
      <c r="L186" s="2" t="str">
        <f>VLOOKUP(demandas[[#This Row],[StatusID]],status!A:B,2,)</f>
        <v>Concluído</v>
      </c>
    </row>
    <row r="187" spans="1:12" x14ac:dyDescent="0.25">
      <c r="A187">
        <v>186</v>
      </c>
      <c r="B187" s="1" t="s">
        <v>195</v>
      </c>
      <c r="C187">
        <v>1</v>
      </c>
      <c r="D187">
        <v>3</v>
      </c>
      <c r="E187">
        <v>3</v>
      </c>
      <c r="F187">
        <v>3</v>
      </c>
      <c r="G187">
        <v>1</v>
      </c>
      <c r="H187" s="2">
        <v>45478</v>
      </c>
      <c r="I187" s="2">
        <v>45498</v>
      </c>
      <c r="J187" s="2">
        <v>45499</v>
      </c>
      <c r="K187" s="2" t="str">
        <f>_xlfn.XLOOKUP(demandas[[#This Row],[SquadID]],squads!A:A,squads!B:B,)</f>
        <v>Squad Pagamentos</v>
      </c>
      <c r="L187" s="2" t="str">
        <f>VLOOKUP(demandas[[#This Row],[StatusID]],status!A:B,2,)</f>
        <v>Concluído</v>
      </c>
    </row>
    <row r="188" spans="1:12" x14ac:dyDescent="0.25">
      <c r="A188">
        <v>187</v>
      </c>
      <c r="B188" s="1" t="s">
        <v>196</v>
      </c>
      <c r="C188">
        <v>1</v>
      </c>
      <c r="D188">
        <v>5</v>
      </c>
      <c r="E188">
        <v>2</v>
      </c>
      <c r="F188">
        <v>1</v>
      </c>
      <c r="G188">
        <v>2</v>
      </c>
      <c r="H188" s="2">
        <v>45522</v>
      </c>
      <c r="I188" s="2">
        <v>45535</v>
      </c>
      <c r="J188" s="2">
        <v>45527</v>
      </c>
      <c r="K188" s="2" t="str">
        <f>_xlfn.XLOOKUP(demandas[[#This Row],[SquadID]],squads!A:A,squads!B:B,)</f>
        <v>Squad Pagamentos</v>
      </c>
      <c r="L188" s="2" t="str">
        <f>VLOOKUP(demandas[[#This Row],[StatusID]],status!A:B,2,)</f>
        <v>Cancelado</v>
      </c>
    </row>
    <row r="189" spans="1:12" x14ac:dyDescent="0.25">
      <c r="A189">
        <v>188</v>
      </c>
      <c r="B189" s="1" t="s">
        <v>197</v>
      </c>
      <c r="C189">
        <v>1</v>
      </c>
      <c r="D189">
        <v>3</v>
      </c>
      <c r="E189">
        <v>2</v>
      </c>
      <c r="F189">
        <v>6</v>
      </c>
      <c r="G189">
        <v>2</v>
      </c>
      <c r="H189" s="2">
        <v>45420</v>
      </c>
      <c r="I189" s="2">
        <v>45432</v>
      </c>
      <c r="J189" s="2">
        <v>45431</v>
      </c>
      <c r="K189" s="2" t="str">
        <f>_xlfn.XLOOKUP(demandas[[#This Row],[SquadID]],squads!A:A,squads!B:B,)</f>
        <v>Squad Pagamentos</v>
      </c>
      <c r="L189" s="2" t="str">
        <f>VLOOKUP(demandas[[#This Row],[StatusID]],status!A:B,2,)</f>
        <v>Concluído</v>
      </c>
    </row>
    <row r="190" spans="1:12" x14ac:dyDescent="0.25">
      <c r="A190">
        <v>189</v>
      </c>
      <c r="B190" s="1" t="s">
        <v>198</v>
      </c>
      <c r="C190">
        <v>5</v>
      </c>
      <c r="D190">
        <v>3</v>
      </c>
      <c r="E190">
        <v>3</v>
      </c>
      <c r="F190">
        <v>1</v>
      </c>
      <c r="G190">
        <v>15</v>
      </c>
      <c r="H190" s="2">
        <v>45637</v>
      </c>
      <c r="I190" s="2">
        <v>45655</v>
      </c>
      <c r="J190" s="2">
        <v>45639</v>
      </c>
      <c r="K190" s="2" t="str">
        <f>_xlfn.XLOOKUP(demandas[[#This Row],[SquadID]],squads!A:A,squads!B:B,)</f>
        <v>Squad Dados</v>
      </c>
      <c r="L190" s="2" t="str">
        <f>VLOOKUP(demandas[[#This Row],[StatusID]],status!A:B,2,)</f>
        <v>Concluído</v>
      </c>
    </row>
    <row r="191" spans="1:12" x14ac:dyDescent="0.25">
      <c r="A191">
        <v>190</v>
      </c>
      <c r="B191" s="1" t="s">
        <v>199</v>
      </c>
      <c r="C191">
        <v>6</v>
      </c>
      <c r="D191">
        <v>3</v>
      </c>
      <c r="E191">
        <v>2</v>
      </c>
      <c r="F191">
        <v>1</v>
      </c>
      <c r="G191">
        <v>18</v>
      </c>
      <c r="H191" s="2">
        <v>45718</v>
      </c>
      <c r="I191" s="2">
        <v>45726</v>
      </c>
      <c r="J191" s="2">
        <v>45723</v>
      </c>
      <c r="K191" s="2" t="str">
        <f>_xlfn.XLOOKUP(demandas[[#This Row],[SquadID]],squads!A:A,squads!B:B,)</f>
        <v>Squad Integrações</v>
      </c>
      <c r="L191" s="2" t="str">
        <f>VLOOKUP(demandas[[#This Row],[StatusID]],status!A:B,2,)</f>
        <v>Concluído</v>
      </c>
    </row>
    <row r="192" spans="1:12" x14ac:dyDescent="0.25">
      <c r="A192">
        <v>191</v>
      </c>
      <c r="B192" s="1" t="s">
        <v>200</v>
      </c>
      <c r="C192">
        <v>8</v>
      </c>
      <c r="D192">
        <v>3</v>
      </c>
      <c r="E192">
        <v>3</v>
      </c>
      <c r="F192">
        <v>4</v>
      </c>
      <c r="G192">
        <v>24</v>
      </c>
      <c r="H192" s="2">
        <v>45707</v>
      </c>
      <c r="I192" s="2">
        <v>45729</v>
      </c>
      <c r="J192" s="2">
        <v>45713</v>
      </c>
      <c r="K192" s="2" t="str">
        <f>_xlfn.XLOOKUP(demandas[[#This Row],[SquadID]],squads!A:A,squads!B:B,)</f>
        <v>Squad Infraestrutura</v>
      </c>
      <c r="L192" s="2" t="str">
        <f>VLOOKUP(demandas[[#This Row],[StatusID]],status!A:B,2,)</f>
        <v>Concluído</v>
      </c>
    </row>
    <row r="193" spans="1:12" x14ac:dyDescent="0.25">
      <c r="A193">
        <v>192</v>
      </c>
      <c r="B193" s="1" t="s">
        <v>201</v>
      </c>
      <c r="C193">
        <v>3</v>
      </c>
      <c r="D193">
        <v>3</v>
      </c>
      <c r="E193">
        <v>3</v>
      </c>
      <c r="F193">
        <v>2</v>
      </c>
      <c r="G193">
        <v>7</v>
      </c>
      <c r="H193" s="2">
        <v>45612</v>
      </c>
      <c r="I193" s="2">
        <v>45635</v>
      </c>
      <c r="J193" s="2">
        <v>45642</v>
      </c>
      <c r="K193" s="2" t="str">
        <f>_xlfn.XLOOKUP(demandas[[#This Row],[SquadID]],squads!A:A,squads!B:B,)</f>
        <v>Squad Onboarding</v>
      </c>
      <c r="L193" s="2" t="str">
        <f>VLOOKUP(demandas[[#This Row],[StatusID]],status!A:B,2,)</f>
        <v>Concluído</v>
      </c>
    </row>
    <row r="194" spans="1:12" x14ac:dyDescent="0.25">
      <c r="A194">
        <v>193</v>
      </c>
      <c r="B194" s="1" t="s">
        <v>202</v>
      </c>
      <c r="C194">
        <v>6</v>
      </c>
      <c r="D194">
        <v>2</v>
      </c>
      <c r="E194">
        <v>3</v>
      </c>
      <c r="F194">
        <v>1</v>
      </c>
      <c r="G194">
        <v>16</v>
      </c>
      <c r="H194" s="2">
        <v>45769</v>
      </c>
      <c r="I194" s="2">
        <v>45788</v>
      </c>
      <c r="J194" s="2"/>
      <c r="K194" s="2" t="str">
        <f>_xlfn.XLOOKUP(demandas[[#This Row],[SquadID]],squads!A:A,squads!B:B,)</f>
        <v>Squad Integrações</v>
      </c>
      <c r="L194" s="2" t="str">
        <f>VLOOKUP(demandas[[#This Row],[StatusID]],status!A:B,2,)</f>
        <v>Em Andamento</v>
      </c>
    </row>
    <row r="195" spans="1:12" x14ac:dyDescent="0.25">
      <c r="A195">
        <v>194</v>
      </c>
      <c r="B195" s="1" t="s">
        <v>203</v>
      </c>
      <c r="C195">
        <v>1</v>
      </c>
      <c r="D195">
        <v>5</v>
      </c>
      <c r="E195">
        <v>1</v>
      </c>
      <c r="F195">
        <v>5</v>
      </c>
      <c r="G195">
        <v>3</v>
      </c>
      <c r="H195" s="2">
        <v>45720</v>
      </c>
      <c r="I195" s="2">
        <v>45726</v>
      </c>
      <c r="J195" s="2">
        <v>45740</v>
      </c>
      <c r="K195" s="2" t="str">
        <f>_xlfn.XLOOKUP(demandas[[#This Row],[SquadID]],squads!A:A,squads!B:B,)</f>
        <v>Squad Pagamentos</v>
      </c>
      <c r="L195" s="2" t="str">
        <f>VLOOKUP(demandas[[#This Row],[StatusID]],status!A:B,2,)</f>
        <v>Cancelado</v>
      </c>
    </row>
    <row r="196" spans="1:12" x14ac:dyDescent="0.25">
      <c r="A196">
        <v>195</v>
      </c>
      <c r="B196" s="1" t="s">
        <v>204</v>
      </c>
      <c r="C196">
        <v>7</v>
      </c>
      <c r="D196">
        <v>3</v>
      </c>
      <c r="E196">
        <v>3</v>
      </c>
      <c r="F196">
        <v>1</v>
      </c>
      <c r="G196">
        <v>19</v>
      </c>
      <c r="H196" s="2">
        <v>45802</v>
      </c>
      <c r="I196" s="2">
        <v>45827</v>
      </c>
      <c r="J196" s="2">
        <v>45803</v>
      </c>
      <c r="K196" s="2" t="str">
        <f>_xlfn.XLOOKUP(demandas[[#This Row],[SquadID]],squads!A:A,squads!B:B,)</f>
        <v>Squad Experiência</v>
      </c>
      <c r="L196" s="2" t="str">
        <f>VLOOKUP(demandas[[#This Row],[StatusID]],status!A:B,2,)</f>
        <v>Concluído</v>
      </c>
    </row>
    <row r="197" spans="1:12" x14ac:dyDescent="0.25">
      <c r="A197">
        <v>196</v>
      </c>
      <c r="B197" s="1" t="s">
        <v>205</v>
      </c>
      <c r="C197">
        <v>8</v>
      </c>
      <c r="D197">
        <v>2</v>
      </c>
      <c r="E197">
        <v>3</v>
      </c>
      <c r="F197">
        <v>6</v>
      </c>
      <c r="G197">
        <v>22</v>
      </c>
      <c r="H197" s="2">
        <v>45653</v>
      </c>
      <c r="I197" s="2">
        <v>45671</v>
      </c>
      <c r="J197" s="2"/>
      <c r="K197" s="2" t="str">
        <f>_xlfn.XLOOKUP(demandas[[#This Row],[SquadID]],squads!A:A,squads!B:B,)</f>
        <v>Squad Infraestrutura</v>
      </c>
      <c r="L197" s="2" t="str">
        <f>VLOOKUP(demandas[[#This Row],[StatusID]],status!A:B,2,)</f>
        <v>Em Andamento</v>
      </c>
    </row>
    <row r="198" spans="1:12" x14ac:dyDescent="0.25">
      <c r="A198">
        <v>197</v>
      </c>
      <c r="B198" s="1" t="s">
        <v>206</v>
      </c>
      <c r="C198">
        <v>5</v>
      </c>
      <c r="D198">
        <v>3</v>
      </c>
      <c r="E198">
        <v>4</v>
      </c>
      <c r="F198">
        <v>4</v>
      </c>
      <c r="G198">
        <v>14</v>
      </c>
      <c r="H198" s="2">
        <v>45300</v>
      </c>
      <c r="I198" s="2">
        <v>45329</v>
      </c>
      <c r="J198" s="2">
        <v>45341</v>
      </c>
      <c r="K198" s="2" t="str">
        <f>_xlfn.XLOOKUP(demandas[[#This Row],[SquadID]],squads!A:A,squads!B:B,)</f>
        <v>Squad Dados</v>
      </c>
      <c r="L198" s="2" t="str">
        <f>VLOOKUP(demandas[[#This Row],[StatusID]],status!A:B,2,)</f>
        <v>Concluído</v>
      </c>
    </row>
    <row r="199" spans="1:12" x14ac:dyDescent="0.25">
      <c r="A199">
        <v>198</v>
      </c>
      <c r="B199" s="1" t="s">
        <v>207</v>
      </c>
      <c r="C199">
        <v>6</v>
      </c>
      <c r="D199">
        <v>3</v>
      </c>
      <c r="E199">
        <v>3</v>
      </c>
      <c r="F199">
        <v>2</v>
      </c>
      <c r="G199">
        <v>18</v>
      </c>
      <c r="H199" s="2">
        <v>45491</v>
      </c>
      <c r="I199" s="2">
        <v>45514</v>
      </c>
      <c r="J199" s="2">
        <v>45508</v>
      </c>
      <c r="K199" s="2" t="str">
        <f>_xlfn.XLOOKUP(demandas[[#This Row],[SquadID]],squads!A:A,squads!B:B,)</f>
        <v>Squad Integrações</v>
      </c>
      <c r="L199" s="2" t="str">
        <f>VLOOKUP(demandas[[#This Row],[StatusID]],status!A:B,2,)</f>
        <v>Concluído</v>
      </c>
    </row>
    <row r="200" spans="1:12" x14ac:dyDescent="0.25">
      <c r="A200">
        <v>199</v>
      </c>
      <c r="B200" s="1" t="s">
        <v>208</v>
      </c>
      <c r="C200">
        <v>6</v>
      </c>
      <c r="D200">
        <v>5</v>
      </c>
      <c r="E200">
        <v>2</v>
      </c>
      <c r="F200">
        <v>6</v>
      </c>
      <c r="G200">
        <v>18</v>
      </c>
      <c r="H200" s="2">
        <v>45413</v>
      </c>
      <c r="I200" s="2">
        <v>45423</v>
      </c>
      <c r="J200" s="2">
        <v>45419</v>
      </c>
      <c r="K200" s="2" t="str">
        <f>_xlfn.XLOOKUP(demandas[[#This Row],[SquadID]],squads!A:A,squads!B:B,)</f>
        <v>Squad Integrações</v>
      </c>
      <c r="L200" s="2" t="str">
        <f>VLOOKUP(demandas[[#This Row],[StatusID]],status!A:B,2,)</f>
        <v>Cancelado</v>
      </c>
    </row>
    <row r="201" spans="1:12" x14ac:dyDescent="0.25">
      <c r="A201">
        <v>200</v>
      </c>
      <c r="B201" s="1" t="s">
        <v>209</v>
      </c>
      <c r="C201">
        <v>8</v>
      </c>
      <c r="D201">
        <v>1</v>
      </c>
      <c r="E201">
        <v>3</v>
      </c>
      <c r="F201">
        <v>1</v>
      </c>
      <c r="G201">
        <v>24</v>
      </c>
      <c r="H201" s="2">
        <v>45703</v>
      </c>
      <c r="I201" s="2">
        <v>45721</v>
      </c>
      <c r="J201" s="2"/>
      <c r="K201" s="2" t="str">
        <f>_xlfn.XLOOKUP(demandas[[#This Row],[SquadID]],squads!A:A,squads!B:B,)</f>
        <v>Squad Infraestrutura</v>
      </c>
      <c r="L201" s="2" t="str">
        <f>VLOOKUP(demandas[[#This Row],[StatusID]],status!A:B,2,)</f>
        <v>Aberto</v>
      </c>
    </row>
    <row r="202" spans="1:12" x14ac:dyDescent="0.25">
      <c r="A202">
        <v>201</v>
      </c>
      <c r="B202" s="1" t="s">
        <v>210</v>
      </c>
      <c r="C202">
        <v>6</v>
      </c>
      <c r="D202">
        <v>1</v>
      </c>
      <c r="E202">
        <v>4</v>
      </c>
      <c r="F202">
        <v>3</v>
      </c>
      <c r="G202">
        <v>16</v>
      </c>
      <c r="H202" s="2">
        <v>45819</v>
      </c>
      <c r="I202" s="2">
        <v>45849</v>
      </c>
      <c r="J202" s="2"/>
      <c r="K202" s="2" t="str">
        <f>_xlfn.XLOOKUP(demandas[[#This Row],[SquadID]],squads!A:A,squads!B:B,)</f>
        <v>Squad Integrações</v>
      </c>
      <c r="L202" s="2" t="str">
        <f>VLOOKUP(demandas[[#This Row],[StatusID]],status!A:B,2,)</f>
        <v>Aberto</v>
      </c>
    </row>
    <row r="203" spans="1:12" x14ac:dyDescent="0.25">
      <c r="A203">
        <v>202</v>
      </c>
      <c r="B203" s="1" t="s">
        <v>211</v>
      </c>
      <c r="C203">
        <v>3</v>
      </c>
      <c r="D203">
        <v>3</v>
      </c>
      <c r="E203">
        <v>3</v>
      </c>
      <c r="F203">
        <v>3</v>
      </c>
      <c r="G203">
        <v>8</v>
      </c>
      <c r="H203" s="2">
        <v>45636</v>
      </c>
      <c r="I203" s="2">
        <v>45661</v>
      </c>
      <c r="J203" s="2">
        <v>45637</v>
      </c>
      <c r="K203" s="2" t="str">
        <f>_xlfn.XLOOKUP(demandas[[#This Row],[SquadID]],squads!A:A,squads!B:B,)</f>
        <v>Squad Onboarding</v>
      </c>
      <c r="L203" s="2" t="str">
        <f>VLOOKUP(demandas[[#This Row],[StatusID]],status!A:B,2,)</f>
        <v>Concluído</v>
      </c>
    </row>
    <row r="204" spans="1:12" x14ac:dyDescent="0.25">
      <c r="A204">
        <v>203</v>
      </c>
      <c r="B204" s="1" t="s">
        <v>212</v>
      </c>
      <c r="C204">
        <v>3</v>
      </c>
      <c r="D204">
        <v>3</v>
      </c>
      <c r="E204">
        <v>2</v>
      </c>
      <c r="F204">
        <v>2</v>
      </c>
      <c r="G204">
        <v>8</v>
      </c>
      <c r="H204" s="2">
        <v>45319</v>
      </c>
      <c r="I204" s="2">
        <v>45334</v>
      </c>
      <c r="J204" s="2">
        <v>45332</v>
      </c>
      <c r="K204" s="2" t="str">
        <f>_xlfn.XLOOKUP(demandas[[#This Row],[SquadID]],squads!A:A,squads!B:B,)</f>
        <v>Squad Onboarding</v>
      </c>
      <c r="L204" s="2" t="str">
        <f>VLOOKUP(demandas[[#This Row],[StatusID]],status!A:B,2,)</f>
        <v>Concluído</v>
      </c>
    </row>
    <row r="205" spans="1:12" x14ac:dyDescent="0.25">
      <c r="A205">
        <v>204</v>
      </c>
      <c r="B205" s="1" t="s">
        <v>213</v>
      </c>
      <c r="C205">
        <v>5</v>
      </c>
      <c r="D205">
        <v>3</v>
      </c>
      <c r="E205">
        <v>3</v>
      </c>
      <c r="F205">
        <v>3</v>
      </c>
      <c r="G205">
        <v>13</v>
      </c>
      <c r="H205" s="2">
        <v>45681</v>
      </c>
      <c r="I205" s="2">
        <v>45701</v>
      </c>
      <c r="J205" s="2">
        <v>45700</v>
      </c>
      <c r="K205" s="2" t="str">
        <f>_xlfn.XLOOKUP(demandas[[#This Row],[SquadID]],squads!A:A,squads!B:B,)</f>
        <v>Squad Dados</v>
      </c>
      <c r="L205" s="2" t="str">
        <f>VLOOKUP(demandas[[#This Row],[StatusID]],status!A:B,2,)</f>
        <v>Concluído</v>
      </c>
    </row>
    <row r="206" spans="1:12" x14ac:dyDescent="0.25">
      <c r="A206">
        <v>205</v>
      </c>
      <c r="B206" s="1" t="s">
        <v>214</v>
      </c>
      <c r="C206">
        <v>1</v>
      </c>
      <c r="D206">
        <v>3</v>
      </c>
      <c r="E206">
        <v>1</v>
      </c>
      <c r="F206">
        <v>2</v>
      </c>
      <c r="G206">
        <v>1</v>
      </c>
      <c r="H206" s="2">
        <v>45714</v>
      </c>
      <c r="I206" s="2">
        <v>45720</v>
      </c>
      <c r="J206" s="2">
        <v>45735</v>
      </c>
      <c r="K206" s="2" t="str">
        <f>_xlfn.XLOOKUP(demandas[[#This Row],[SquadID]],squads!A:A,squads!B:B,)</f>
        <v>Squad Pagamentos</v>
      </c>
      <c r="L206" s="2" t="str">
        <f>VLOOKUP(demandas[[#This Row],[StatusID]],status!A:B,2,)</f>
        <v>Concluído</v>
      </c>
    </row>
    <row r="207" spans="1:12" x14ac:dyDescent="0.25">
      <c r="A207">
        <v>206</v>
      </c>
      <c r="B207" s="1" t="s">
        <v>215</v>
      </c>
      <c r="C207">
        <v>7</v>
      </c>
      <c r="D207">
        <v>2</v>
      </c>
      <c r="E207">
        <v>3</v>
      </c>
      <c r="F207">
        <v>1</v>
      </c>
      <c r="G207">
        <v>19</v>
      </c>
      <c r="H207" s="2">
        <v>45823</v>
      </c>
      <c r="I207" s="2">
        <v>45844</v>
      </c>
      <c r="J207" s="2"/>
      <c r="K207" s="2" t="str">
        <f>_xlfn.XLOOKUP(demandas[[#This Row],[SquadID]],squads!A:A,squads!B:B,)</f>
        <v>Squad Experiência</v>
      </c>
      <c r="L207" s="2" t="str">
        <f>VLOOKUP(demandas[[#This Row],[StatusID]],status!A:B,2,)</f>
        <v>Em Andamento</v>
      </c>
    </row>
    <row r="208" spans="1:12" x14ac:dyDescent="0.25">
      <c r="A208">
        <v>207</v>
      </c>
      <c r="B208" s="1" t="s">
        <v>216</v>
      </c>
      <c r="C208">
        <v>4</v>
      </c>
      <c r="D208">
        <v>3</v>
      </c>
      <c r="E208">
        <v>3</v>
      </c>
      <c r="F208">
        <v>6</v>
      </c>
      <c r="G208">
        <v>11</v>
      </c>
      <c r="H208" s="2">
        <v>45642</v>
      </c>
      <c r="I208" s="2">
        <v>45665</v>
      </c>
      <c r="J208" s="2">
        <v>45676</v>
      </c>
      <c r="K208" s="2" t="str">
        <f>_xlfn.XLOOKUP(demandas[[#This Row],[SquadID]],squads!A:A,squads!B:B,)</f>
        <v>Squad Segurança</v>
      </c>
      <c r="L208" s="2" t="str">
        <f>VLOOKUP(demandas[[#This Row],[StatusID]],status!A:B,2,)</f>
        <v>Concluído</v>
      </c>
    </row>
    <row r="209" spans="1:12" x14ac:dyDescent="0.25">
      <c r="A209">
        <v>208</v>
      </c>
      <c r="B209" s="1" t="s">
        <v>217</v>
      </c>
      <c r="C209">
        <v>6</v>
      </c>
      <c r="D209">
        <v>3</v>
      </c>
      <c r="E209">
        <v>2</v>
      </c>
      <c r="F209">
        <v>3</v>
      </c>
      <c r="G209">
        <v>16</v>
      </c>
      <c r="H209" s="2">
        <v>45577</v>
      </c>
      <c r="I209" s="2">
        <v>45589</v>
      </c>
      <c r="J209" s="2">
        <v>45594</v>
      </c>
      <c r="K209" s="2" t="str">
        <f>_xlfn.XLOOKUP(demandas[[#This Row],[SquadID]],squads!A:A,squads!B:B,)</f>
        <v>Squad Integrações</v>
      </c>
      <c r="L209" s="2" t="str">
        <f>VLOOKUP(demandas[[#This Row],[StatusID]],status!A:B,2,)</f>
        <v>Concluído</v>
      </c>
    </row>
    <row r="210" spans="1:12" x14ac:dyDescent="0.25">
      <c r="A210">
        <v>209</v>
      </c>
      <c r="B210" s="1" t="s">
        <v>218</v>
      </c>
      <c r="C210">
        <v>2</v>
      </c>
      <c r="D210">
        <v>3</v>
      </c>
      <c r="E210">
        <v>2</v>
      </c>
      <c r="F210">
        <v>4</v>
      </c>
      <c r="G210">
        <v>5</v>
      </c>
      <c r="H210" s="2">
        <v>45783</v>
      </c>
      <c r="I210" s="2">
        <v>45796</v>
      </c>
      <c r="J210" s="2">
        <v>45808</v>
      </c>
      <c r="K210" s="2" t="str">
        <f>_xlfn.XLOOKUP(demandas[[#This Row],[SquadID]],squads!A:A,squads!B:B,)</f>
        <v>Squad Crédito</v>
      </c>
      <c r="L210" s="2" t="str">
        <f>VLOOKUP(demandas[[#This Row],[StatusID]],status!A:B,2,)</f>
        <v>Concluído</v>
      </c>
    </row>
    <row r="211" spans="1:12" x14ac:dyDescent="0.25">
      <c r="A211">
        <v>210</v>
      </c>
      <c r="B211" s="1" t="s">
        <v>219</v>
      </c>
      <c r="C211">
        <v>2</v>
      </c>
      <c r="D211">
        <v>3</v>
      </c>
      <c r="E211">
        <v>3</v>
      </c>
      <c r="F211">
        <v>3</v>
      </c>
      <c r="G211">
        <v>5</v>
      </c>
      <c r="H211" s="2">
        <v>45645</v>
      </c>
      <c r="I211" s="2">
        <v>45665</v>
      </c>
      <c r="J211" s="2">
        <v>45648</v>
      </c>
      <c r="K211" s="2" t="str">
        <f>_xlfn.XLOOKUP(demandas[[#This Row],[SquadID]],squads!A:A,squads!B:B,)</f>
        <v>Squad Crédito</v>
      </c>
      <c r="L211" s="2" t="str">
        <f>VLOOKUP(demandas[[#This Row],[StatusID]],status!A:B,2,)</f>
        <v>Concluído</v>
      </c>
    </row>
    <row r="212" spans="1:12" x14ac:dyDescent="0.25">
      <c r="A212">
        <v>211</v>
      </c>
      <c r="B212" s="1" t="s">
        <v>220</v>
      </c>
      <c r="C212">
        <v>7</v>
      </c>
      <c r="D212">
        <v>5</v>
      </c>
      <c r="E212">
        <v>3</v>
      </c>
      <c r="F212">
        <v>4</v>
      </c>
      <c r="G212">
        <v>19</v>
      </c>
      <c r="H212" s="2">
        <v>45498</v>
      </c>
      <c r="I212" s="2">
        <v>45520</v>
      </c>
      <c r="J212" s="2">
        <v>45503</v>
      </c>
      <c r="K212" s="2" t="str">
        <f>_xlfn.XLOOKUP(demandas[[#This Row],[SquadID]],squads!A:A,squads!B:B,)</f>
        <v>Squad Experiência</v>
      </c>
      <c r="L212" s="2" t="str">
        <f>VLOOKUP(demandas[[#This Row],[StatusID]],status!A:B,2,)</f>
        <v>Cancelado</v>
      </c>
    </row>
    <row r="213" spans="1:12" x14ac:dyDescent="0.25">
      <c r="A213">
        <v>212</v>
      </c>
      <c r="B213" s="1" t="s">
        <v>221</v>
      </c>
      <c r="C213">
        <v>5</v>
      </c>
      <c r="D213">
        <v>2</v>
      </c>
      <c r="E213">
        <v>3</v>
      </c>
      <c r="F213">
        <v>1</v>
      </c>
      <c r="G213">
        <v>15</v>
      </c>
      <c r="H213" s="2">
        <v>45523</v>
      </c>
      <c r="I213" s="2">
        <v>45544</v>
      </c>
      <c r="J213" s="2"/>
      <c r="K213" s="2" t="str">
        <f>_xlfn.XLOOKUP(demandas[[#This Row],[SquadID]],squads!A:A,squads!B:B,)</f>
        <v>Squad Dados</v>
      </c>
      <c r="L213" s="2" t="str">
        <f>VLOOKUP(demandas[[#This Row],[StatusID]],status!A:B,2,)</f>
        <v>Em Andamento</v>
      </c>
    </row>
    <row r="214" spans="1:12" x14ac:dyDescent="0.25">
      <c r="A214">
        <v>213</v>
      </c>
      <c r="B214" s="1" t="s">
        <v>222</v>
      </c>
      <c r="C214">
        <v>3</v>
      </c>
      <c r="D214">
        <v>3</v>
      </c>
      <c r="E214">
        <v>3</v>
      </c>
      <c r="F214">
        <v>4</v>
      </c>
      <c r="G214">
        <v>7</v>
      </c>
      <c r="H214" s="2">
        <v>45297</v>
      </c>
      <c r="I214" s="2">
        <v>45317</v>
      </c>
      <c r="J214" s="2">
        <v>45332</v>
      </c>
      <c r="K214" s="2" t="str">
        <f>_xlfn.XLOOKUP(demandas[[#This Row],[SquadID]],squads!A:A,squads!B:B,)</f>
        <v>Squad Onboarding</v>
      </c>
      <c r="L214" s="2" t="str">
        <f>VLOOKUP(demandas[[#This Row],[StatusID]],status!A:B,2,)</f>
        <v>Concluído</v>
      </c>
    </row>
    <row r="215" spans="1:12" x14ac:dyDescent="0.25">
      <c r="A215">
        <v>214</v>
      </c>
      <c r="B215" s="1" t="s">
        <v>223</v>
      </c>
      <c r="C215">
        <v>4</v>
      </c>
      <c r="D215">
        <v>4</v>
      </c>
      <c r="E215">
        <v>2</v>
      </c>
      <c r="F215">
        <v>6</v>
      </c>
      <c r="G215">
        <v>11</v>
      </c>
      <c r="H215" s="2">
        <v>45584</v>
      </c>
      <c r="I215" s="2">
        <v>45592</v>
      </c>
      <c r="J215" s="2"/>
      <c r="K215" s="2" t="str">
        <f>_xlfn.XLOOKUP(demandas[[#This Row],[SquadID]],squads!A:A,squads!B:B,)</f>
        <v>Squad Segurança</v>
      </c>
      <c r="L215" s="2" t="str">
        <f>VLOOKUP(demandas[[#This Row],[StatusID]],status!A:B,2,)</f>
        <v>Bloqueado</v>
      </c>
    </row>
    <row r="216" spans="1:12" x14ac:dyDescent="0.25">
      <c r="A216">
        <v>215</v>
      </c>
      <c r="B216" s="1" t="s">
        <v>224</v>
      </c>
      <c r="C216">
        <v>5</v>
      </c>
      <c r="D216">
        <v>4</v>
      </c>
      <c r="E216">
        <v>2</v>
      </c>
      <c r="F216">
        <v>4</v>
      </c>
      <c r="G216">
        <v>13</v>
      </c>
      <c r="H216" s="2">
        <v>45471</v>
      </c>
      <c r="I216" s="2">
        <v>45485</v>
      </c>
      <c r="J216" s="2"/>
      <c r="K216" s="2" t="str">
        <f>_xlfn.XLOOKUP(demandas[[#This Row],[SquadID]],squads!A:A,squads!B:B,)</f>
        <v>Squad Dados</v>
      </c>
      <c r="L216" s="2" t="str">
        <f>VLOOKUP(demandas[[#This Row],[StatusID]],status!A:B,2,)</f>
        <v>Bloqueado</v>
      </c>
    </row>
    <row r="217" spans="1:12" x14ac:dyDescent="0.25">
      <c r="A217">
        <v>216</v>
      </c>
      <c r="B217" s="1" t="s">
        <v>225</v>
      </c>
      <c r="C217">
        <v>7</v>
      </c>
      <c r="D217">
        <v>4</v>
      </c>
      <c r="E217">
        <v>1</v>
      </c>
      <c r="F217">
        <v>4</v>
      </c>
      <c r="G217">
        <v>20</v>
      </c>
      <c r="H217" s="2">
        <v>45482</v>
      </c>
      <c r="I217" s="2">
        <v>45489</v>
      </c>
      <c r="J217" s="2"/>
      <c r="K217" s="2" t="str">
        <f>_xlfn.XLOOKUP(demandas[[#This Row],[SquadID]],squads!A:A,squads!B:B,)</f>
        <v>Squad Experiência</v>
      </c>
      <c r="L217" s="2" t="str">
        <f>VLOOKUP(demandas[[#This Row],[StatusID]],status!A:B,2,)</f>
        <v>Bloqueado</v>
      </c>
    </row>
    <row r="218" spans="1:12" x14ac:dyDescent="0.25">
      <c r="A218">
        <v>217</v>
      </c>
      <c r="B218" s="1" t="s">
        <v>226</v>
      </c>
      <c r="C218">
        <v>2</v>
      </c>
      <c r="D218">
        <v>5</v>
      </c>
      <c r="E218">
        <v>3</v>
      </c>
      <c r="F218">
        <v>5</v>
      </c>
      <c r="G218">
        <v>5</v>
      </c>
      <c r="H218" s="2">
        <v>45583</v>
      </c>
      <c r="I218" s="2">
        <v>45608</v>
      </c>
      <c r="J218" s="2">
        <v>45599</v>
      </c>
      <c r="K218" s="2" t="str">
        <f>_xlfn.XLOOKUP(demandas[[#This Row],[SquadID]],squads!A:A,squads!B:B,)</f>
        <v>Squad Crédito</v>
      </c>
      <c r="L218" s="2" t="str">
        <f>VLOOKUP(demandas[[#This Row],[StatusID]],status!A:B,2,)</f>
        <v>Cancelado</v>
      </c>
    </row>
    <row r="219" spans="1:12" x14ac:dyDescent="0.25">
      <c r="A219">
        <v>218</v>
      </c>
      <c r="B219" s="1" t="s">
        <v>227</v>
      </c>
      <c r="C219">
        <v>7</v>
      </c>
      <c r="D219">
        <v>3</v>
      </c>
      <c r="E219">
        <v>3</v>
      </c>
      <c r="F219">
        <v>1</v>
      </c>
      <c r="G219">
        <v>19</v>
      </c>
      <c r="H219" s="2">
        <v>45630</v>
      </c>
      <c r="I219" s="2">
        <v>45650</v>
      </c>
      <c r="J219" s="2">
        <v>45636</v>
      </c>
      <c r="K219" s="2" t="str">
        <f>_xlfn.XLOOKUP(demandas[[#This Row],[SquadID]],squads!A:A,squads!B:B,)</f>
        <v>Squad Experiência</v>
      </c>
      <c r="L219" s="2" t="str">
        <f>VLOOKUP(demandas[[#This Row],[StatusID]],status!A:B,2,)</f>
        <v>Concluído</v>
      </c>
    </row>
    <row r="220" spans="1:12" x14ac:dyDescent="0.25">
      <c r="A220">
        <v>219</v>
      </c>
      <c r="B220" s="1" t="s">
        <v>228</v>
      </c>
      <c r="C220">
        <v>6</v>
      </c>
      <c r="D220">
        <v>3</v>
      </c>
      <c r="E220">
        <v>3</v>
      </c>
      <c r="F220">
        <v>3</v>
      </c>
      <c r="G220">
        <v>16</v>
      </c>
      <c r="H220" s="2">
        <v>45471</v>
      </c>
      <c r="I220" s="2">
        <v>45495</v>
      </c>
      <c r="J220" s="2">
        <v>45474</v>
      </c>
      <c r="K220" s="2" t="str">
        <f>_xlfn.XLOOKUP(demandas[[#This Row],[SquadID]],squads!A:A,squads!B:B,)</f>
        <v>Squad Integrações</v>
      </c>
      <c r="L220" s="2" t="str">
        <f>VLOOKUP(demandas[[#This Row],[StatusID]],status!A:B,2,)</f>
        <v>Concluído</v>
      </c>
    </row>
    <row r="221" spans="1:12" x14ac:dyDescent="0.25">
      <c r="A221">
        <v>220</v>
      </c>
      <c r="B221" s="1" t="s">
        <v>229</v>
      </c>
      <c r="C221">
        <v>5</v>
      </c>
      <c r="D221">
        <v>3</v>
      </c>
      <c r="E221">
        <v>2</v>
      </c>
      <c r="F221">
        <v>1</v>
      </c>
      <c r="G221">
        <v>14</v>
      </c>
      <c r="H221" s="2">
        <v>45546</v>
      </c>
      <c r="I221" s="2">
        <v>45554</v>
      </c>
      <c r="J221" s="2">
        <v>45551</v>
      </c>
      <c r="K221" s="2" t="str">
        <f>_xlfn.XLOOKUP(demandas[[#This Row],[SquadID]],squads!A:A,squads!B:B,)</f>
        <v>Squad Dados</v>
      </c>
      <c r="L221" s="2" t="str">
        <f>VLOOKUP(demandas[[#This Row],[StatusID]],status!A:B,2,)</f>
        <v>Concluído</v>
      </c>
    </row>
    <row r="222" spans="1:12" x14ac:dyDescent="0.25">
      <c r="A222">
        <v>221</v>
      </c>
      <c r="B222" s="1" t="s">
        <v>230</v>
      </c>
      <c r="C222">
        <v>2</v>
      </c>
      <c r="D222">
        <v>2</v>
      </c>
      <c r="E222">
        <v>3</v>
      </c>
      <c r="F222">
        <v>1</v>
      </c>
      <c r="G222">
        <v>6</v>
      </c>
      <c r="H222" s="2">
        <v>45660</v>
      </c>
      <c r="I222" s="2">
        <v>45681</v>
      </c>
      <c r="J222" s="2"/>
      <c r="K222" s="2" t="str">
        <f>_xlfn.XLOOKUP(demandas[[#This Row],[SquadID]],squads!A:A,squads!B:B,)</f>
        <v>Squad Crédito</v>
      </c>
      <c r="L222" s="2" t="str">
        <f>VLOOKUP(demandas[[#This Row],[StatusID]],status!A:B,2,)</f>
        <v>Em Andamento</v>
      </c>
    </row>
    <row r="223" spans="1:12" x14ac:dyDescent="0.25">
      <c r="A223">
        <v>222</v>
      </c>
      <c r="B223" s="1" t="s">
        <v>231</v>
      </c>
      <c r="C223">
        <v>4</v>
      </c>
      <c r="D223">
        <v>3</v>
      </c>
      <c r="E223">
        <v>2</v>
      </c>
      <c r="F223">
        <v>4</v>
      </c>
      <c r="G223">
        <v>12</v>
      </c>
      <c r="H223" s="2">
        <v>45610</v>
      </c>
      <c r="I223" s="2">
        <v>45619</v>
      </c>
      <c r="J223" s="2">
        <v>45625</v>
      </c>
      <c r="K223" s="2" t="str">
        <f>_xlfn.XLOOKUP(demandas[[#This Row],[SquadID]],squads!A:A,squads!B:B,)</f>
        <v>Squad Segurança</v>
      </c>
      <c r="L223" s="2" t="str">
        <f>VLOOKUP(demandas[[#This Row],[StatusID]],status!A:B,2,)</f>
        <v>Concluído</v>
      </c>
    </row>
    <row r="224" spans="1:12" x14ac:dyDescent="0.25">
      <c r="A224">
        <v>223</v>
      </c>
      <c r="B224" s="1" t="s">
        <v>232</v>
      </c>
      <c r="C224">
        <v>2</v>
      </c>
      <c r="D224">
        <v>3</v>
      </c>
      <c r="E224">
        <v>4</v>
      </c>
      <c r="F224">
        <v>3</v>
      </c>
      <c r="G224">
        <v>5</v>
      </c>
      <c r="H224" s="2">
        <v>45674</v>
      </c>
      <c r="I224" s="2">
        <v>45708</v>
      </c>
      <c r="J224" s="2">
        <v>45721</v>
      </c>
      <c r="K224" s="2" t="str">
        <f>_xlfn.XLOOKUP(demandas[[#This Row],[SquadID]],squads!A:A,squads!B:B,)</f>
        <v>Squad Crédito</v>
      </c>
      <c r="L224" s="2" t="str">
        <f>VLOOKUP(demandas[[#This Row],[StatusID]],status!A:B,2,)</f>
        <v>Concluído</v>
      </c>
    </row>
    <row r="225" spans="1:12" x14ac:dyDescent="0.25">
      <c r="A225">
        <v>224</v>
      </c>
      <c r="B225" s="1" t="s">
        <v>233</v>
      </c>
      <c r="C225">
        <v>6</v>
      </c>
      <c r="D225">
        <v>3</v>
      </c>
      <c r="E225">
        <v>4</v>
      </c>
      <c r="F225">
        <v>4</v>
      </c>
      <c r="G225">
        <v>18</v>
      </c>
      <c r="H225" s="2">
        <v>45375</v>
      </c>
      <c r="I225" s="2">
        <v>45410</v>
      </c>
      <c r="J225" s="2">
        <v>45383</v>
      </c>
      <c r="K225" s="2" t="str">
        <f>_xlfn.XLOOKUP(demandas[[#This Row],[SquadID]],squads!A:A,squads!B:B,)</f>
        <v>Squad Integrações</v>
      </c>
      <c r="L225" s="2" t="str">
        <f>VLOOKUP(demandas[[#This Row],[StatusID]],status!A:B,2,)</f>
        <v>Concluído</v>
      </c>
    </row>
    <row r="226" spans="1:12" x14ac:dyDescent="0.25">
      <c r="A226">
        <v>225</v>
      </c>
      <c r="B226" s="1" t="s">
        <v>234</v>
      </c>
      <c r="C226">
        <v>7</v>
      </c>
      <c r="D226">
        <v>3</v>
      </c>
      <c r="E226">
        <v>4</v>
      </c>
      <c r="F226">
        <v>1</v>
      </c>
      <c r="G226">
        <v>21</v>
      </c>
      <c r="H226" s="2">
        <v>45445</v>
      </c>
      <c r="I226" s="2">
        <v>45475</v>
      </c>
      <c r="J226" s="2">
        <v>45449</v>
      </c>
      <c r="K226" s="2" t="str">
        <f>_xlfn.XLOOKUP(demandas[[#This Row],[SquadID]],squads!A:A,squads!B:B,)</f>
        <v>Squad Experiência</v>
      </c>
      <c r="L226" s="2" t="str">
        <f>VLOOKUP(demandas[[#This Row],[StatusID]],status!A:B,2,)</f>
        <v>Concluído</v>
      </c>
    </row>
    <row r="227" spans="1:12" x14ac:dyDescent="0.25">
      <c r="A227">
        <v>226</v>
      </c>
      <c r="B227" s="1" t="s">
        <v>235</v>
      </c>
      <c r="C227">
        <v>2</v>
      </c>
      <c r="D227">
        <v>3</v>
      </c>
      <c r="E227">
        <v>3</v>
      </c>
      <c r="F227">
        <v>1</v>
      </c>
      <c r="G227">
        <v>6</v>
      </c>
      <c r="H227" s="2">
        <v>45748</v>
      </c>
      <c r="I227" s="2">
        <v>45766</v>
      </c>
      <c r="J227" s="2">
        <v>45763</v>
      </c>
      <c r="K227" s="2" t="str">
        <f>_xlfn.XLOOKUP(demandas[[#This Row],[SquadID]],squads!A:A,squads!B:B,)</f>
        <v>Squad Crédito</v>
      </c>
      <c r="L227" s="2" t="str">
        <f>VLOOKUP(demandas[[#This Row],[StatusID]],status!A:B,2,)</f>
        <v>Concluído</v>
      </c>
    </row>
    <row r="228" spans="1:12" x14ac:dyDescent="0.25">
      <c r="A228">
        <v>227</v>
      </c>
      <c r="B228" s="1" t="s">
        <v>236</v>
      </c>
      <c r="C228">
        <v>1</v>
      </c>
      <c r="D228">
        <v>3</v>
      </c>
      <c r="E228">
        <v>3</v>
      </c>
      <c r="F228">
        <v>4</v>
      </c>
      <c r="G228">
        <v>3</v>
      </c>
      <c r="H228" s="2">
        <v>45314</v>
      </c>
      <c r="I228" s="2">
        <v>45338</v>
      </c>
      <c r="J228" s="2">
        <v>45321</v>
      </c>
      <c r="K228" s="2" t="str">
        <f>_xlfn.XLOOKUP(demandas[[#This Row],[SquadID]],squads!A:A,squads!B:B,)</f>
        <v>Squad Pagamentos</v>
      </c>
      <c r="L228" s="2" t="str">
        <f>VLOOKUP(demandas[[#This Row],[StatusID]],status!A:B,2,)</f>
        <v>Concluído</v>
      </c>
    </row>
    <row r="229" spans="1:12" x14ac:dyDescent="0.25">
      <c r="A229">
        <v>228</v>
      </c>
      <c r="B229" s="1" t="s">
        <v>237</v>
      </c>
      <c r="C229">
        <v>1</v>
      </c>
      <c r="D229">
        <v>5</v>
      </c>
      <c r="E229">
        <v>3</v>
      </c>
      <c r="F229">
        <v>4</v>
      </c>
      <c r="G229">
        <v>3</v>
      </c>
      <c r="H229" s="2">
        <v>45353</v>
      </c>
      <c r="I229" s="2">
        <v>45372</v>
      </c>
      <c r="J229" s="2">
        <v>45363</v>
      </c>
      <c r="K229" s="2" t="str">
        <f>_xlfn.XLOOKUP(demandas[[#This Row],[SquadID]],squads!A:A,squads!B:B,)</f>
        <v>Squad Pagamentos</v>
      </c>
      <c r="L229" s="2" t="str">
        <f>VLOOKUP(demandas[[#This Row],[StatusID]],status!A:B,2,)</f>
        <v>Cancelado</v>
      </c>
    </row>
    <row r="230" spans="1:12" x14ac:dyDescent="0.25">
      <c r="A230">
        <v>229</v>
      </c>
      <c r="B230" s="1" t="s">
        <v>238</v>
      </c>
      <c r="C230">
        <v>1</v>
      </c>
      <c r="D230">
        <v>5</v>
      </c>
      <c r="E230">
        <v>2</v>
      </c>
      <c r="F230">
        <v>3</v>
      </c>
      <c r="G230">
        <v>3</v>
      </c>
      <c r="H230" s="2">
        <v>45722</v>
      </c>
      <c r="I230" s="2">
        <v>45735</v>
      </c>
      <c r="J230" s="2">
        <v>45729</v>
      </c>
      <c r="K230" s="2" t="str">
        <f>_xlfn.XLOOKUP(demandas[[#This Row],[SquadID]],squads!A:A,squads!B:B,)</f>
        <v>Squad Pagamentos</v>
      </c>
      <c r="L230" s="2" t="str">
        <f>VLOOKUP(demandas[[#This Row],[StatusID]],status!A:B,2,)</f>
        <v>Cancelado</v>
      </c>
    </row>
    <row r="231" spans="1:12" x14ac:dyDescent="0.25">
      <c r="A231">
        <v>230</v>
      </c>
      <c r="B231" s="1" t="s">
        <v>239</v>
      </c>
      <c r="C231">
        <v>1</v>
      </c>
      <c r="D231">
        <v>3</v>
      </c>
      <c r="E231">
        <v>4</v>
      </c>
      <c r="F231">
        <v>5</v>
      </c>
      <c r="G231">
        <v>1</v>
      </c>
      <c r="H231" s="2">
        <v>45648</v>
      </c>
      <c r="I231" s="2">
        <v>45677</v>
      </c>
      <c r="J231" s="2">
        <v>45665</v>
      </c>
      <c r="K231" s="2" t="str">
        <f>_xlfn.XLOOKUP(demandas[[#This Row],[SquadID]],squads!A:A,squads!B:B,)</f>
        <v>Squad Pagamentos</v>
      </c>
      <c r="L231" s="2" t="str">
        <f>VLOOKUP(demandas[[#This Row],[StatusID]],status!A:B,2,)</f>
        <v>Concluído</v>
      </c>
    </row>
    <row r="232" spans="1:12" x14ac:dyDescent="0.25">
      <c r="A232">
        <v>231</v>
      </c>
      <c r="B232" s="1" t="s">
        <v>240</v>
      </c>
      <c r="C232">
        <v>6</v>
      </c>
      <c r="D232">
        <v>3</v>
      </c>
      <c r="E232">
        <v>2</v>
      </c>
      <c r="F232">
        <v>1</v>
      </c>
      <c r="G232">
        <v>16</v>
      </c>
      <c r="H232" s="2">
        <v>45597</v>
      </c>
      <c r="I232" s="2">
        <v>45612</v>
      </c>
      <c r="J232" s="2">
        <v>45606</v>
      </c>
      <c r="K232" s="2" t="str">
        <f>_xlfn.XLOOKUP(demandas[[#This Row],[SquadID]],squads!A:A,squads!B:B,)</f>
        <v>Squad Integrações</v>
      </c>
      <c r="L232" s="2" t="str">
        <f>VLOOKUP(demandas[[#This Row],[StatusID]],status!A:B,2,)</f>
        <v>Concluído</v>
      </c>
    </row>
    <row r="233" spans="1:12" x14ac:dyDescent="0.25">
      <c r="A233">
        <v>232</v>
      </c>
      <c r="B233" s="1" t="s">
        <v>241</v>
      </c>
      <c r="C233">
        <v>7</v>
      </c>
      <c r="D233">
        <v>1</v>
      </c>
      <c r="E233">
        <v>2</v>
      </c>
      <c r="F233">
        <v>2</v>
      </c>
      <c r="G233">
        <v>20</v>
      </c>
      <c r="H233" s="2">
        <v>45485</v>
      </c>
      <c r="I233" s="2">
        <v>45494</v>
      </c>
      <c r="J233" s="2"/>
      <c r="K233" s="2" t="str">
        <f>_xlfn.XLOOKUP(demandas[[#This Row],[SquadID]],squads!A:A,squads!B:B,)</f>
        <v>Squad Experiência</v>
      </c>
      <c r="L233" s="2" t="str">
        <f>VLOOKUP(demandas[[#This Row],[StatusID]],status!A:B,2,)</f>
        <v>Aberto</v>
      </c>
    </row>
    <row r="234" spans="1:12" x14ac:dyDescent="0.25">
      <c r="A234">
        <v>233</v>
      </c>
      <c r="B234" s="1" t="s">
        <v>242</v>
      </c>
      <c r="C234">
        <v>3</v>
      </c>
      <c r="D234">
        <v>2</v>
      </c>
      <c r="E234">
        <v>3</v>
      </c>
      <c r="F234">
        <v>5</v>
      </c>
      <c r="G234">
        <v>7</v>
      </c>
      <c r="H234" s="2">
        <v>45538</v>
      </c>
      <c r="I234" s="2">
        <v>45559</v>
      </c>
      <c r="J234" s="2"/>
      <c r="K234" s="2" t="str">
        <f>_xlfn.XLOOKUP(demandas[[#This Row],[SquadID]],squads!A:A,squads!B:B,)</f>
        <v>Squad Onboarding</v>
      </c>
      <c r="L234" s="2" t="str">
        <f>VLOOKUP(demandas[[#This Row],[StatusID]],status!A:B,2,)</f>
        <v>Em Andamento</v>
      </c>
    </row>
    <row r="235" spans="1:12" x14ac:dyDescent="0.25">
      <c r="A235">
        <v>234</v>
      </c>
      <c r="B235" s="1" t="s">
        <v>243</v>
      </c>
      <c r="C235">
        <v>1</v>
      </c>
      <c r="D235">
        <v>3</v>
      </c>
      <c r="E235">
        <v>3</v>
      </c>
      <c r="F235">
        <v>4</v>
      </c>
      <c r="G235">
        <v>1</v>
      </c>
      <c r="H235" s="2">
        <v>45542</v>
      </c>
      <c r="I235" s="2">
        <v>45560</v>
      </c>
      <c r="J235" s="2">
        <v>45549</v>
      </c>
      <c r="K235" s="2" t="str">
        <f>_xlfn.XLOOKUP(demandas[[#This Row],[SquadID]],squads!A:A,squads!B:B,)</f>
        <v>Squad Pagamentos</v>
      </c>
      <c r="L235" s="2" t="str">
        <f>VLOOKUP(demandas[[#This Row],[StatusID]],status!A:B,2,)</f>
        <v>Concluído</v>
      </c>
    </row>
    <row r="236" spans="1:12" x14ac:dyDescent="0.25">
      <c r="A236">
        <v>235</v>
      </c>
      <c r="B236" s="1" t="s">
        <v>244</v>
      </c>
      <c r="C236">
        <v>7</v>
      </c>
      <c r="D236">
        <v>3</v>
      </c>
      <c r="E236">
        <v>1</v>
      </c>
      <c r="F236">
        <v>3</v>
      </c>
      <c r="G236">
        <v>20</v>
      </c>
      <c r="H236" s="2">
        <v>45531</v>
      </c>
      <c r="I236" s="2">
        <v>45539</v>
      </c>
      <c r="J236" s="2">
        <v>45553</v>
      </c>
      <c r="K236" s="2" t="str">
        <f>_xlfn.XLOOKUP(demandas[[#This Row],[SquadID]],squads!A:A,squads!B:B,)</f>
        <v>Squad Experiência</v>
      </c>
      <c r="L236" s="2" t="str">
        <f>VLOOKUP(demandas[[#This Row],[StatusID]],status!A:B,2,)</f>
        <v>Concluído</v>
      </c>
    </row>
    <row r="237" spans="1:12" x14ac:dyDescent="0.25">
      <c r="A237">
        <v>236</v>
      </c>
      <c r="B237" s="1" t="s">
        <v>245</v>
      </c>
      <c r="C237">
        <v>2</v>
      </c>
      <c r="D237">
        <v>3</v>
      </c>
      <c r="E237">
        <v>4</v>
      </c>
      <c r="F237">
        <v>6</v>
      </c>
      <c r="G237">
        <v>6</v>
      </c>
      <c r="H237" s="2">
        <v>45518</v>
      </c>
      <c r="I237" s="2">
        <v>45552</v>
      </c>
      <c r="J237" s="2">
        <v>45530</v>
      </c>
      <c r="K237" s="2" t="str">
        <f>_xlfn.XLOOKUP(demandas[[#This Row],[SquadID]],squads!A:A,squads!B:B,)</f>
        <v>Squad Crédito</v>
      </c>
      <c r="L237" s="2" t="str">
        <f>VLOOKUP(demandas[[#This Row],[StatusID]],status!A:B,2,)</f>
        <v>Concluído</v>
      </c>
    </row>
    <row r="238" spans="1:12" x14ac:dyDescent="0.25">
      <c r="A238">
        <v>237</v>
      </c>
      <c r="B238" s="1" t="s">
        <v>246</v>
      </c>
      <c r="C238">
        <v>5</v>
      </c>
      <c r="D238">
        <v>3</v>
      </c>
      <c r="E238">
        <v>3</v>
      </c>
      <c r="F238">
        <v>1</v>
      </c>
      <c r="G238">
        <v>14</v>
      </c>
      <c r="H238" s="2">
        <v>45682</v>
      </c>
      <c r="I238" s="2">
        <v>45705</v>
      </c>
      <c r="J238" s="2">
        <v>45692</v>
      </c>
      <c r="K238" s="2" t="str">
        <f>_xlfn.XLOOKUP(demandas[[#This Row],[SquadID]],squads!A:A,squads!B:B,)</f>
        <v>Squad Dados</v>
      </c>
      <c r="L238" s="2" t="str">
        <f>VLOOKUP(demandas[[#This Row],[StatusID]],status!A:B,2,)</f>
        <v>Concluído</v>
      </c>
    </row>
    <row r="239" spans="1:12" x14ac:dyDescent="0.25">
      <c r="A239">
        <v>238</v>
      </c>
      <c r="B239" s="1" t="s">
        <v>247</v>
      </c>
      <c r="C239">
        <v>1</v>
      </c>
      <c r="D239">
        <v>3</v>
      </c>
      <c r="E239">
        <v>3</v>
      </c>
      <c r="F239">
        <v>1</v>
      </c>
      <c r="G239">
        <v>1</v>
      </c>
      <c r="H239" s="2">
        <v>45599</v>
      </c>
      <c r="I239" s="2">
        <v>45619</v>
      </c>
      <c r="J239" s="2">
        <v>45628</v>
      </c>
      <c r="K239" s="2" t="str">
        <f>_xlfn.XLOOKUP(demandas[[#This Row],[SquadID]],squads!A:A,squads!B:B,)</f>
        <v>Squad Pagamentos</v>
      </c>
      <c r="L239" s="2" t="str">
        <f>VLOOKUP(demandas[[#This Row],[StatusID]],status!A:B,2,)</f>
        <v>Concluído</v>
      </c>
    </row>
    <row r="240" spans="1:12" x14ac:dyDescent="0.25">
      <c r="A240">
        <v>239</v>
      </c>
      <c r="B240" s="1" t="s">
        <v>248</v>
      </c>
      <c r="C240">
        <v>8</v>
      </c>
      <c r="D240">
        <v>3</v>
      </c>
      <c r="E240">
        <v>3</v>
      </c>
      <c r="F240">
        <v>1</v>
      </c>
      <c r="G240">
        <v>22</v>
      </c>
      <c r="H240" s="2">
        <v>45553</v>
      </c>
      <c r="I240" s="2">
        <v>45574</v>
      </c>
      <c r="J240" s="2">
        <v>45568</v>
      </c>
      <c r="K240" s="2" t="str">
        <f>_xlfn.XLOOKUP(demandas[[#This Row],[SquadID]],squads!A:A,squads!B:B,)</f>
        <v>Squad Infraestrutura</v>
      </c>
      <c r="L240" s="2" t="str">
        <f>VLOOKUP(demandas[[#This Row],[StatusID]],status!A:B,2,)</f>
        <v>Concluído</v>
      </c>
    </row>
    <row r="241" spans="1:12" x14ac:dyDescent="0.25">
      <c r="A241">
        <v>240</v>
      </c>
      <c r="B241" s="1" t="s">
        <v>249</v>
      </c>
      <c r="C241">
        <v>3</v>
      </c>
      <c r="D241">
        <v>3</v>
      </c>
      <c r="E241">
        <v>3</v>
      </c>
      <c r="F241">
        <v>4</v>
      </c>
      <c r="G241">
        <v>7</v>
      </c>
      <c r="H241" s="2">
        <v>45566</v>
      </c>
      <c r="I241" s="2">
        <v>45590</v>
      </c>
      <c r="J241" s="2">
        <v>45569</v>
      </c>
      <c r="K241" s="2" t="str">
        <f>_xlfn.XLOOKUP(demandas[[#This Row],[SquadID]],squads!A:A,squads!B:B,)</f>
        <v>Squad Onboarding</v>
      </c>
      <c r="L241" s="2" t="str">
        <f>VLOOKUP(demandas[[#This Row],[StatusID]],status!A:B,2,)</f>
        <v>Concluído</v>
      </c>
    </row>
    <row r="242" spans="1:12" x14ac:dyDescent="0.25">
      <c r="A242">
        <v>241</v>
      </c>
      <c r="B242" s="1" t="s">
        <v>250</v>
      </c>
      <c r="C242">
        <v>6</v>
      </c>
      <c r="D242">
        <v>4</v>
      </c>
      <c r="E242">
        <v>3</v>
      </c>
      <c r="F242">
        <v>4</v>
      </c>
      <c r="G242">
        <v>16</v>
      </c>
      <c r="H242" s="2">
        <v>45782</v>
      </c>
      <c r="I242" s="2">
        <v>45803</v>
      </c>
      <c r="J242" s="2"/>
      <c r="K242" s="2" t="str">
        <f>_xlfn.XLOOKUP(demandas[[#This Row],[SquadID]],squads!A:A,squads!B:B,)</f>
        <v>Squad Integrações</v>
      </c>
      <c r="L242" s="2" t="str">
        <f>VLOOKUP(demandas[[#This Row],[StatusID]],status!A:B,2,)</f>
        <v>Bloqueado</v>
      </c>
    </row>
    <row r="243" spans="1:12" x14ac:dyDescent="0.25">
      <c r="A243">
        <v>242</v>
      </c>
      <c r="B243" s="1" t="s">
        <v>251</v>
      </c>
      <c r="C243">
        <v>2</v>
      </c>
      <c r="D243">
        <v>4</v>
      </c>
      <c r="E243">
        <v>4</v>
      </c>
      <c r="F243">
        <v>1</v>
      </c>
      <c r="G243">
        <v>4</v>
      </c>
      <c r="H243" s="2">
        <v>45412</v>
      </c>
      <c r="I243" s="2">
        <v>45447</v>
      </c>
      <c r="J243" s="2"/>
      <c r="K243" s="2" t="str">
        <f>_xlfn.XLOOKUP(demandas[[#This Row],[SquadID]],squads!A:A,squads!B:B,)</f>
        <v>Squad Crédito</v>
      </c>
      <c r="L243" s="2" t="str">
        <f>VLOOKUP(demandas[[#This Row],[StatusID]],status!A:B,2,)</f>
        <v>Bloqueado</v>
      </c>
    </row>
    <row r="244" spans="1:12" x14ac:dyDescent="0.25">
      <c r="A244">
        <v>243</v>
      </c>
      <c r="B244" s="1" t="s">
        <v>252</v>
      </c>
      <c r="C244">
        <v>5</v>
      </c>
      <c r="D244">
        <v>3</v>
      </c>
      <c r="E244">
        <v>2</v>
      </c>
      <c r="F244">
        <v>5</v>
      </c>
      <c r="G244">
        <v>15</v>
      </c>
      <c r="H244" s="2">
        <v>45621</v>
      </c>
      <c r="I244" s="2">
        <v>45633</v>
      </c>
      <c r="J244" s="2">
        <v>45627</v>
      </c>
      <c r="K244" s="2" t="str">
        <f>_xlfn.XLOOKUP(demandas[[#This Row],[SquadID]],squads!A:A,squads!B:B,)</f>
        <v>Squad Dados</v>
      </c>
      <c r="L244" s="2" t="str">
        <f>VLOOKUP(demandas[[#This Row],[StatusID]],status!A:B,2,)</f>
        <v>Concluído</v>
      </c>
    </row>
    <row r="245" spans="1:12" x14ac:dyDescent="0.25">
      <c r="A245">
        <v>244</v>
      </c>
      <c r="B245" s="1" t="s">
        <v>253</v>
      </c>
      <c r="C245">
        <v>2</v>
      </c>
      <c r="D245">
        <v>4</v>
      </c>
      <c r="E245">
        <v>3</v>
      </c>
      <c r="F245">
        <v>3</v>
      </c>
      <c r="G245">
        <v>4</v>
      </c>
      <c r="H245" s="2">
        <v>45772</v>
      </c>
      <c r="I245" s="2">
        <v>45795</v>
      </c>
      <c r="J245" s="2"/>
      <c r="K245" s="2" t="str">
        <f>_xlfn.XLOOKUP(demandas[[#This Row],[SquadID]],squads!A:A,squads!B:B,)</f>
        <v>Squad Crédito</v>
      </c>
      <c r="L245" s="2" t="str">
        <f>VLOOKUP(demandas[[#This Row],[StatusID]],status!A:B,2,)</f>
        <v>Bloqueado</v>
      </c>
    </row>
    <row r="246" spans="1:12" x14ac:dyDescent="0.25">
      <c r="A246">
        <v>245</v>
      </c>
      <c r="B246" s="1" t="s">
        <v>254</v>
      </c>
      <c r="C246">
        <v>3</v>
      </c>
      <c r="D246">
        <v>3</v>
      </c>
      <c r="E246">
        <v>1</v>
      </c>
      <c r="F246">
        <v>5</v>
      </c>
      <c r="G246">
        <v>9</v>
      </c>
      <c r="H246" s="2">
        <v>45441</v>
      </c>
      <c r="I246" s="2">
        <v>45444</v>
      </c>
      <c r="J246" s="2">
        <v>45454</v>
      </c>
      <c r="K246" s="2" t="str">
        <f>_xlfn.XLOOKUP(demandas[[#This Row],[SquadID]],squads!A:A,squads!B:B,)</f>
        <v>Squad Onboarding</v>
      </c>
      <c r="L246" s="2" t="str">
        <f>VLOOKUP(demandas[[#This Row],[StatusID]],status!A:B,2,)</f>
        <v>Concluído</v>
      </c>
    </row>
    <row r="247" spans="1:12" x14ac:dyDescent="0.25">
      <c r="A247">
        <v>246</v>
      </c>
      <c r="B247" s="1" t="s">
        <v>255</v>
      </c>
      <c r="C247">
        <v>3</v>
      </c>
      <c r="D247">
        <v>3</v>
      </c>
      <c r="E247">
        <v>2</v>
      </c>
      <c r="F247">
        <v>2</v>
      </c>
      <c r="G247">
        <v>8</v>
      </c>
      <c r="H247" s="2">
        <v>45543</v>
      </c>
      <c r="I247" s="2">
        <v>45558</v>
      </c>
      <c r="J247" s="2">
        <v>45564</v>
      </c>
      <c r="K247" s="2" t="str">
        <f>_xlfn.XLOOKUP(demandas[[#This Row],[SquadID]],squads!A:A,squads!B:B,)</f>
        <v>Squad Onboarding</v>
      </c>
      <c r="L247" s="2" t="str">
        <f>VLOOKUP(demandas[[#This Row],[StatusID]],status!A:B,2,)</f>
        <v>Concluído</v>
      </c>
    </row>
    <row r="248" spans="1:12" x14ac:dyDescent="0.25">
      <c r="A248">
        <v>247</v>
      </c>
      <c r="B248" s="1" t="s">
        <v>256</v>
      </c>
      <c r="C248">
        <v>6</v>
      </c>
      <c r="D248">
        <v>2</v>
      </c>
      <c r="E248">
        <v>3</v>
      </c>
      <c r="F248">
        <v>4</v>
      </c>
      <c r="G248">
        <v>18</v>
      </c>
      <c r="H248" s="2">
        <v>45794</v>
      </c>
      <c r="I248" s="2">
        <v>45819</v>
      </c>
      <c r="J248" s="2"/>
      <c r="K248" s="2" t="str">
        <f>_xlfn.XLOOKUP(demandas[[#This Row],[SquadID]],squads!A:A,squads!B:B,)</f>
        <v>Squad Integrações</v>
      </c>
      <c r="L248" s="2" t="str">
        <f>VLOOKUP(demandas[[#This Row],[StatusID]],status!A:B,2,)</f>
        <v>Em Andamento</v>
      </c>
    </row>
    <row r="249" spans="1:12" x14ac:dyDescent="0.25">
      <c r="A249">
        <v>248</v>
      </c>
      <c r="B249" s="1" t="s">
        <v>257</v>
      </c>
      <c r="C249">
        <v>3</v>
      </c>
      <c r="D249">
        <v>3</v>
      </c>
      <c r="E249">
        <v>2</v>
      </c>
      <c r="F249">
        <v>3</v>
      </c>
      <c r="G249">
        <v>7</v>
      </c>
      <c r="H249" s="2">
        <v>45352</v>
      </c>
      <c r="I249" s="2">
        <v>45360</v>
      </c>
      <c r="J249" s="2">
        <v>45353</v>
      </c>
      <c r="K249" s="2" t="str">
        <f>_xlfn.XLOOKUP(demandas[[#This Row],[SquadID]],squads!A:A,squads!B:B,)</f>
        <v>Squad Onboarding</v>
      </c>
      <c r="L249" s="2" t="str">
        <f>VLOOKUP(demandas[[#This Row],[StatusID]],status!A:B,2,)</f>
        <v>Concluído</v>
      </c>
    </row>
    <row r="250" spans="1:12" x14ac:dyDescent="0.25">
      <c r="A250">
        <v>249</v>
      </c>
      <c r="B250" s="1" t="s">
        <v>258</v>
      </c>
      <c r="C250">
        <v>3</v>
      </c>
      <c r="D250">
        <v>3</v>
      </c>
      <c r="E250">
        <v>4</v>
      </c>
      <c r="F250">
        <v>1</v>
      </c>
      <c r="G250">
        <v>9</v>
      </c>
      <c r="H250" s="2">
        <v>45446</v>
      </c>
      <c r="I250" s="2">
        <v>45474</v>
      </c>
      <c r="J250" s="2">
        <v>45448</v>
      </c>
      <c r="K250" s="2" t="str">
        <f>_xlfn.XLOOKUP(demandas[[#This Row],[SquadID]],squads!A:A,squads!B:B,)</f>
        <v>Squad Onboarding</v>
      </c>
      <c r="L250" s="2" t="str">
        <f>VLOOKUP(demandas[[#This Row],[StatusID]],status!A:B,2,)</f>
        <v>Concluído</v>
      </c>
    </row>
    <row r="251" spans="1:12" x14ac:dyDescent="0.25">
      <c r="A251">
        <v>250</v>
      </c>
      <c r="B251" s="1" t="s">
        <v>259</v>
      </c>
      <c r="C251">
        <v>5</v>
      </c>
      <c r="D251">
        <v>1</v>
      </c>
      <c r="E251">
        <v>4</v>
      </c>
      <c r="F251">
        <v>5</v>
      </c>
      <c r="G251">
        <v>15</v>
      </c>
      <c r="H251" s="2">
        <v>45791</v>
      </c>
      <c r="I251" s="2">
        <v>45819</v>
      </c>
      <c r="J251" s="2"/>
      <c r="K251" s="2" t="str">
        <f>_xlfn.XLOOKUP(demandas[[#This Row],[SquadID]],squads!A:A,squads!B:B,)</f>
        <v>Squad Dados</v>
      </c>
      <c r="L251" s="2" t="str">
        <f>VLOOKUP(demandas[[#This Row],[StatusID]],status!A:B,2,)</f>
        <v>Aberto</v>
      </c>
    </row>
    <row r="252" spans="1:12" x14ac:dyDescent="0.25">
      <c r="A252">
        <v>251</v>
      </c>
      <c r="B252" s="1" t="s">
        <v>260</v>
      </c>
      <c r="C252">
        <v>3</v>
      </c>
      <c r="D252">
        <v>3</v>
      </c>
      <c r="E252">
        <v>1</v>
      </c>
      <c r="F252">
        <v>4</v>
      </c>
      <c r="G252">
        <v>9</v>
      </c>
      <c r="H252" s="2">
        <v>45585</v>
      </c>
      <c r="I252" s="2">
        <v>45588</v>
      </c>
      <c r="J252" s="2">
        <v>45587</v>
      </c>
      <c r="K252" s="2" t="str">
        <f>_xlfn.XLOOKUP(demandas[[#This Row],[SquadID]],squads!A:A,squads!B:B,)</f>
        <v>Squad Onboarding</v>
      </c>
      <c r="L252" s="2" t="str">
        <f>VLOOKUP(demandas[[#This Row],[StatusID]],status!A:B,2,)</f>
        <v>Concluído</v>
      </c>
    </row>
    <row r="253" spans="1:12" x14ac:dyDescent="0.25">
      <c r="A253">
        <v>252</v>
      </c>
      <c r="B253" s="1" t="s">
        <v>261</v>
      </c>
      <c r="C253">
        <v>1</v>
      </c>
      <c r="D253">
        <v>3</v>
      </c>
      <c r="E253">
        <v>1</v>
      </c>
      <c r="F253">
        <v>1</v>
      </c>
      <c r="G253">
        <v>1</v>
      </c>
      <c r="H253" s="2">
        <v>45550</v>
      </c>
      <c r="I253" s="2">
        <v>45558</v>
      </c>
      <c r="J253" s="2">
        <v>45556</v>
      </c>
      <c r="K253" s="2" t="str">
        <f>_xlfn.XLOOKUP(demandas[[#This Row],[SquadID]],squads!A:A,squads!B:B,)</f>
        <v>Squad Pagamentos</v>
      </c>
      <c r="L253" s="2" t="str">
        <f>VLOOKUP(demandas[[#This Row],[StatusID]],status!A:B,2,)</f>
        <v>Concluído</v>
      </c>
    </row>
    <row r="254" spans="1:12" x14ac:dyDescent="0.25">
      <c r="A254">
        <v>253</v>
      </c>
      <c r="B254" s="1" t="s">
        <v>262</v>
      </c>
      <c r="C254">
        <v>4</v>
      </c>
      <c r="D254">
        <v>2</v>
      </c>
      <c r="E254">
        <v>2</v>
      </c>
      <c r="F254">
        <v>4</v>
      </c>
      <c r="G254">
        <v>11</v>
      </c>
      <c r="H254" s="2">
        <v>45374</v>
      </c>
      <c r="I254" s="2">
        <v>45382</v>
      </c>
      <c r="J254" s="2"/>
      <c r="K254" s="2" t="str">
        <f>_xlfn.XLOOKUP(demandas[[#This Row],[SquadID]],squads!A:A,squads!B:B,)</f>
        <v>Squad Segurança</v>
      </c>
      <c r="L254" s="2" t="str">
        <f>VLOOKUP(demandas[[#This Row],[StatusID]],status!A:B,2,)</f>
        <v>Em Andamento</v>
      </c>
    </row>
    <row r="255" spans="1:12" x14ac:dyDescent="0.25">
      <c r="A255">
        <v>254</v>
      </c>
      <c r="B255" s="1" t="s">
        <v>263</v>
      </c>
      <c r="C255">
        <v>3</v>
      </c>
      <c r="D255">
        <v>3</v>
      </c>
      <c r="E255">
        <v>3</v>
      </c>
      <c r="F255">
        <v>3</v>
      </c>
      <c r="G255">
        <v>9</v>
      </c>
      <c r="H255" s="2">
        <v>45467</v>
      </c>
      <c r="I255" s="2">
        <v>45486</v>
      </c>
      <c r="J255" s="2">
        <v>45478</v>
      </c>
      <c r="K255" s="2" t="str">
        <f>_xlfn.XLOOKUP(demandas[[#This Row],[SquadID]],squads!A:A,squads!B:B,)</f>
        <v>Squad Onboarding</v>
      </c>
      <c r="L255" s="2" t="str">
        <f>VLOOKUP(demandas[[#This Row],[StatusID]],status!A:B,2,)</f>
        <v>Concluído</v>
      </c>
    </row>
    <row r="256" spans="1:12" x14ac:dyDescent="0.25">
      <c r="A256">
        <v>255</v>
      </c>
      <c r="B256" s="1" t="s">
        <v>264</v>
      </c>
      <c r="C256">
        <v>8</v>
      </c>
      <c r="D256">
        <v>4</v>
      </c>
      <c r="E256">
        <v>4</v>
      </c>
      <c r="F256">
        <v>5</v>
      </c>
      <c r="G256">
        <v>22</v>
      </c>
      <c r="H256" s="2">
        <v>45527</v>
      </c>
      <c r="I256" s="2">
        <v>45558</v>
      </c>
      <c r="J256" s="2"/>
      <c r="K256" s="2" t="str">
        <f>_xlfn.XLOOKUP(demandas[[#This Row],[SquadID]],squads!A:A,squads!B:B,)</f>
        <v>Squad Infraestrutura</v>
      </c>
      <c r="L256" s="2" t="str">
        <f>VLOOKUP(demandas[[#This Row],[StatusID]],status!A:B,2,)</f>
        <v>Bloqueado</v>
      </c>
    </row>
    <row r="257" spans="1:12" x14ac:dyDescent="0.25">
      <c r="A257">
        <v>256</v>
      </c>
      <c r="B257" s="1" t="s">
        <v>265</v>
      </c>
      <c r="C257">
        <v>7</v>
      </c>
      <c r="D257">
        <v>3</v>
      </c>
      <c r="E257">
        <v>3</v>
      </c>
      <c r="F257">
        <v>1</v>
      </c>
      <c r="G257">
        <v>19</v>
      </c>
      <c r="H257" s="2">
        <v>45579</v>
      </c>
      <c r="I257" s="2">
        <v>45597</v>
      </c>
      <c r="J257" s="2">
        <v>45598</v>
      </c>
      <c r="K257" s="2" t="str">
        <f>_xlfn.XLOOKUP(demandas[[#This Row],[SquadID]],squads!A:A,squads!B:B,)</f>
        <v>Squad Experiência</v>
      </c>
      <c r="L257" s="2" t="str">
        <f>VLOOKUP(demandas[[#This Row],[StatusID]],status!A:B,2,)</f>
        <v>Concluído</v>
      </c>
    </row>
    <row r="258" spans="1:12" x14ac:dyDescent="0.25">
      <c r="A258">
        <v>257</v>
      </c>
      <c r="B258" s="1" t="s">
        <v>266</v>
      </c>
      <c r="C258">
        <v>5</v>
      </c>
      <c r="D258">
        <v>3</v>
      </c>
      <c r="E258">
        <v>3</v>
      </c>
      <c r="F258">
        <v>4</v>
      </c>
      <c r="G258">
        <v>14</v>
      </c>
      <c r="H258" s="2">
        <v>45370</v>
      </c>
      <c r="I258" s="2">
        <v>45392</v>
      </c>
      <c r="J258" s="2">
        <v>45383</v>
      </c>
      <c r="K258" s="2" t="str">
        <f>_xlfn.XLOOKUP(demandas[[#This Row],[SquadID]],squads!A:A,squads!B:B,)</f>
        <v>Squad Dados</v>
      </c>
      <c r="L258" s="2" t="str">
        <f>VLOOKUP(demandas[[#This Row],[StatusID]],status!A:B,2,)</f>
        <v>Concluído</v>
      </c>
    </row>
    <row r="259" spans="1:12" x14ac:dyDescent="0.25">
      <c r="A259">
        <v>258</v>
      </c>
      <c r="B259" s="1" t="s">
        <v>267</v>
      </c>
      <c r="C259">
        <v>7</v>
      </c>
      <c r="D259">
        <v>2</v>
      </c>
      <c r="E259">
        <v>2</v>
      </c>
      <c r="F259">
        <v>4</v>
      </c>
      <c r="G259">
        <v>19</v>
      </c>
      <c r="H259" s="2">
        <v>45372</v>
      </c>
      <c r="I259" s="2">
        <v>45385</v>
      </c>
      <c r="J259" s="2"/>
      <c r="K259" s="2" t="str">
        <f>_xlfn.XLOOKUP(demandas[[#This Row],[SquadID]],squads!A:A,squads!B:B,)</f>
        <v>Squad Experiência</v>
      </c>
      <c r="L259" s="2" t="str">
        <f>VLOOKUP(demandas[[#This Row],[StatusID]],status!A:B,2,)</f>
        <v>Em Andamento</v>
      </c>
    </row>
    <row r="260" spans="1:12" x14ac:dyDescent="0.25">
      <c r="A260">
        <v>259</v>
      </c>
      <c r="B260" s="1" t="s">
        <v>268</v>
      </c>
      <c r="C260">
        <v>2</v>
      </c>
      <c r="D260">
        <v>1</v>
      </c>
      <c r="E260">
        <v>1</v>
      </c>
      <c r="F260">
        <v>3</v>
      </c>
      <c r="G260">
        <v>6</v>
      </c>
      <c r="H260" s="2">
        <v>45698</v>
      </c>
      <c r="I260" s="2">
        <v>45706</v>
      </c>
      <c r="J260" s="2"/>
      <c r="K260" s="2" t="str">
        <f>_xlfn.XLOOKUP(demandas[[#This Row],[SquadID]],squads!A:A,squads!B:B,)</f>
        <v>Squad Crédito</v>
      </c>
      <c r="L260" s="2" t="str">
        <f>VLOOKUP(demandas[[#This Row],[StatusID]],status!A:B,2,)</f>
        <v>Aberto</v>
      </c>
    </row>
    <row r="261" spans="1:12" x14ac:dyDescent="0.25">
      <c r="A261">
        <v>260</v>
      </c>
      <c r="B261" s="1" t="s">
        <v>269</v>
      </c>
      <c r="C261">
        <v>6</v>
      </c>
      <c r="D261">
        <v>3</v>
      </c>
      <c r="E261">
        <v>3</v>
      </c>
      <c r="F261">
        <v>1</v>
      </c>
      <c r="G261">
        <v>18</v>
      </c>
      <c r="H261" s="2">
        <v>45676</v>
      </c>
      <c r="I261" s="2">
        <v>45700</v>
      </c>
      <c r="J261" s="2">
        <v>45689</v>
      </c>
      <c r="K261" s="2" t="str">
        <f>_xlfn.XLOOKUP(demandas[[#This Row],[SquadID]],squads!A:A,squads!B:B,)</f>
        <v>Squad Integrações</v>
      </c>
      <c r="L261" s="2" t="str">
        <f>VLOOKUP(demandas[[#This Row],[StatusID]],status!A:B,2,)</f>
        <v>Concluído</v>
      </c>
    </row>
    <row r="262" spans="1:12" x14ac:dyDescent="0.25">
      <c r="A262">
        <v>261</v>
      </c>
      <c r="B262" s="1" t="s">
        <v>270</v>
      </c>
      <c r="C262">
        <v>6</v>
      </c>
      <c r="D262">
        <v>3</v>
      </c>
      <c r="E262">
        <v>2</v>
      </c>
      <c r="F262">
        <v>1</v>
      </c>
      <c r="G262">
        <v>16</v>
      </c>
      <c r="H262" s="2">
        <v>45376</v>
      </c>
      <c r="I262" s="2">
        <v>45388</v>
      </c>
      <c r="J262" s="2">
        <v>45387</v>
      </c>
      <c r="K262" s="2" t="str">
        <f>_xlfn.XLOOKUP(demandas[[#This Row],[SquadID]],squads!A:A,squads!B:B,)</f>
        <v>Squad Integrações</v>
      </c>
      <c r="L262" s="2" t="str">
        <f>VLOOKUP(demandas[[#This Row],[StatusID]],status!A:B,2,)</f>
        <v>Concluído</v>
      </c>
    </row>
    <row r="263" spans="1:12" x14ac:dyDescent="0.25">
      <c r="A263">
        <v>262</v>
      </c>
      <c r="B263" s="1" t="s">
        <v>271</v>
      </c>
      <c r="C263">
        <v>6</v>
      </c>
      <c r="D263">
        <v>3</v>
      </c>
      <c r="E263">
        <v>2</v>
      </c>
      <c r="F263">
        <v>1</v>
      </c>
      <c r="G263">
        <v>16</v>
      </c>
      <c r="H263" s="2">
        <v>45607</v>
      </c>
      <c r="I263" s="2">
        <v>45622</v>
      </c>
      <c r="J263" s="2">
        <v>45610</v>
      </c>
      <c r="K263" s="2" t="str">
        <f>_xlfn.XLOOKUP(demandas[[#This Row],[SquadID]],squads!A:A,squads!B:B,)</f>
        <v>Squad Integrações</v>
      </c>
      <c r="L263" s="2" t="str">
        <f>VLOOKUP(demandas[[#This Row],[StatusID]],status!A:B,2,)</f>
        <v>Concluído</v>
      </c>
    </row>
    <row r="264" spans="1:12" x14ac:dyDescent="0.25">
      <c r="A264">
        <v>263</v>
      </c>
      <c r="B264" s="1" t="s">
        <v>272</v>
      </c>
      <c r="C264">
        <v>1</v>
      </c>
      <c r="D264">
        <v>2</v>
      </c>
      <c r="E264">
        <v>3</v>
      </c>
      <c r="F264">
        <v>3</v>
      </c>
      <c r="G264">
        <v>2</v>
      </c>
      <c r="H264" s="2">
        <v>45397</v>
      </c>
      <c r="I264" s="2">
        <v>45415</v>
      </c>
      <c r="J264" s="2"/>
      <c r="K264" s="2" t="str">
        <f>_xlfn.XLOOKUP(demandas[[#This Row],[SquadID]],squads!A:A,squads!B:B,)</f>
        <v>Squad Pagamentos</v>
      </c>
      <c r="L264" s="2" t="str">
        <f>VLOOKUP(demandas[[#This Row],[StatusID]],status!A:B,2,)</f>
        <v>Em Andamento</v>
      </c>
    </row>
    <row r="265" spans="1:12" x14ac:dyDescent="0.25">
      <c r="A265">
        <v>264</v>
      </c>
      <c r="B265" s="1" t="s">
        <v>273</v>
      </c>
      <c r="C265">
        <v>1</v>
      </c>
      <c r="D265">
        <v>3</v>
      </c>
      <c r="E265">
        <v>3</v>
      </c>
      <c r="F265">
        <v>2</v>
      </c>
      <c r="G265">
        <v>2</v>
      </c>
      <c r="H265" s="2">
        <v>45304</v>
      </c>
      <c r="I265" s="2">
        <v>45326</v>
      </c>
      <c r="J265" s="2">
        <v>45338</v>
      </c>
      <c r="K265" s="2" t="str">
        <f>_xlfn.XLOOKUP(demandas[[#This Row],[SquadID]],squads!A:A,squads!B:B,)</f>
        <v>Squad Pagamentos</v>
      </c>
      <c r="L265" s="2" t="str">
        <f>VLOOKUP(demandas[[#This Row],[StatusID]],status!A:B,2,)</f>
        <v>Concluído</v>
      </c>
    </row>
    <row r="266" spans="1:12" x14ac:dyDescent="0.25">
      <c r="A266">
        <v>265</v>
      </c>
      <c r="B266" s="1" t="s">
        <v>274</v>
      </c>
      <c r="C266">
        <v>7</v>
      </c>
      <c r="D266">
        <v>2</v>
      </c>
      <c r="E266">
        <v>4</v>
      </c>
      <c r="F266">
        <v>3</v>
      </c>
      <c r="G266">
        <v>19</v>
      </c>
      <c r="H266" s="2">
        <v>45681</v>
      </c>
      <c r="I266" s="2">
        <v>45711</v>
      </c>
      <c r="J266" s="2"/>
      <c r="K266" s="2" t="str">
        <f>_xlfn.XLOOKUP(demandas[[#This Row],[SquadID]],squads!A:A,squads!B:B,)</f>
        <v>Squad Experiência</v>
      </c>
      <c r="L266" s="2" t="str">
        <f>VLOOKUP(demandas[[#This Row],[StatusID]],status!A:B,2,)</f>
        <v>Em Andamento</v>
      </c>
    </row>
    <row r="267" spans="1:12" x14ac:dyDescent="0.25">
      <c r="A267">
        <v>266</v>
      </c>
      <c r="B267" s="1" t="s">
        <v>275</v>
      </c>
      <c r="C267">
        <v>2</v>
      </c>
      <c r="D267">
        <v>3</v>
      </c>
      <c r="E267">
        <v>2</v>
      </c>
      <c r="F267">
        <v>1</v>
      </c>
      <c r="G267">
        <v>5</v>
      </c>
      <c r="H267" s="2">
        <v>45723</v>
      </c>
      <c r="I267" s="2">
        <v>45735</v>
      </c>
      <c r="J267" s="2">
        <v>45728</v>
      </c>
      <c r="K267" s="2" t="str">
        <f>_xlfn.XLOOKUP(demandas[[#This Row],[SquadID]],squads!A:A,squads!B:B,)</f>
        <v>Squad Crédito</v>
      </c>
      <c r="L267" s="2" t="str">
        <f>VLOOKUP(demandas[[#This Row],[StatusID]],status!A:B,2,)</f>
        <v>Concluído</v>
      </c>
    </row>
    <row r="268" spans="1:12" x14ac:dyDescent="0.25">
      <c r="A268">
        <v>267</v>
      </c>
      <c r="B268" s="1" t="s">
        <v>276</v>
      </c>
      <c r="C268">
        <v>6</v>
      </c>
      <c r="D268">
        <v>3</v>
      </c>
      <c r="E268">
        <v>3</v>
      </c>
      <c r="F268">
        <v>3</v>
      </c>
      <c r="G268">
        <v>17</v>
      </c>
      <c r="H268" s="2">
        <v>45401</v>
      </c>
      <c r="I268" s="2">
        <v>45421</v>
      </c>
      <c r="J268" s="2">
        <v>45427</v>
      </c>
      <c r="K268" s="2" t="str">
        <f>_xlfn.XLOOKUP(demandas[[#This Row],[SquadID]],squads!A:A,squads!B:B,)</f>
        <v>Squad Integrações</v>
      </c>
      <c r="L268" s="2" t="str">
        <f>VLOOKUP(demandas[[#This Row],[StatusID]],status!A:B,2,)</f>
        <v>Concluído</v>
      </c>
    </row>
    <row r="269" spans="1:12" x14ac:dyDescent="0.25">
      <c r="A269">
        <v>268</v>
      </c>
      <c r="B269" s="1" t="s">
        <v>277</v>
      </c>
      <c r="C269">
        <v>5</v>
      </c>
      <c r="D269">
        <v>3</v>
      </c>
      <c r="E269">
        <v>4</v>
      </c>
      <c r="F269">
        <v>2</v>
      </c>
      <c r="G269">
        <v>14</v>
      </c>
      <c r="H269" s="2">
        <v>45732</v>
      </c>
      <c r="I269" s="2">
        <v>45762</v>
      </c>
      <c r="J269" s="2">
        <v>45755</v>
      </c>
      <c r="K269" s="2" t="str">
        <f>_xlfn.XLOOKUP(demandas[[#This Row],[SquadID]],squads!A:A,squads!B:B,)</f>
        <v>Squad Dados</v>
      </c>
      <c r="L269" s="2" t="str">
        <f>VLOOKUP(demandas[[#This Row],[StatusID]],status!A:B,2,)</f>
        <v>Concluído</v>
      </c>
    </row>
    <row r="270" spans="1:12" x14ac:dyDescent="0.25">
      <c r="A270">
        <v>269</v>
      </c>
      <c r="B270" s="1" t="s">
        <v>278</v>
      </c>
      <c r="C270">
        <v>4</v>
      </c>
      <c r="D270">
        <v>5</v>
      </c>
      <c r="E270">
        <v>2</v>
      </c>
      <c r="F270">
        <v>2</v>
      </c>
      <c r="G270">
        <v>11</v>
      </c>
      <c r="H270" s="2">
        <v>45590</v>
      </c>
      <c r="I270" s="2">
        <v>45605</v>
      </c>
      <c r="J270" s="2">
        <v>45611</v>
      </c>
      <c r="K270" s="2" t="str">
        <f>_xlfn.XLOOKUP(demandas[[#This Row],[SquadID]],squads!A:A,squads!B:B,)</f>
        <v>Squad Segurança</v>
      </c>
      <c r="L270" s="2" t="str">
        <f>VLOOKUP(demandas[[#This Row],[StatusID]],status!A:B,2,)</f>
        <v>Cancelado</v>
      </c>
    </row>
    <row r="271" spans="1:12" x14ac:dyDescent="0.25">
      <c r="A271">
        <v>270</v>
      </c>
      <c r="B271" s="1" t="s">
        <v>279</v>
      </c>
      <c r="C271">
        <v>2</v>
      </c>
      <c r="D271">
        <v>3</v>
      </c>
      <c r="E271">
        <v>3</v>
      </c>
      <c r="F271">
        <v>2</v>
      </c>
      <c r="G271">
        <v>6</v>
      </c>
      <c r="H271" s="2">
        <v>45496</v>
      </c>
      <c r="I271" s="2">
        <v>45516</v>
      </c>
      <c r="J271" s="2">
        <v>45511</v>
      </c>
      <c r="K271" s="2" t="str">
        <f>_xlfn.XLOOKUP(demandas[[#This Row],[SquadID]],squads!A:A,squads!B:B,)</f>
        <v>Squad Crédito</v>
      </c>
      <c r="L271" s="2" t="str">
        <f>VLOOKUP(demandas[[#This Row],[StatusID]],status!A:B,2,)</f>
        <v>Concluído</v>
      </c>
    </row>
    <row r="272" spans="1:12" x14ac:dyDescent="0.25">
      <c r="A272">
        <v>271</v>
      </c>
      <c r="B272" s="1" t="s">
        <v>280</v>
      </c>
      <c r="C272">
        <v>2</v>
      </c>
      <c r="D272">
        <v>2</v>
      </c>
      <c r="E272">
        <v>3</v>
      </c>
      <c r="F272">
        <v>4</v>
      </c>
      <c r="G272">
        <v>4</v>
      </c>
      <c r="H272" s="2">
        <v>45710</v>
      </c>
      <c r="I272" s="2">
        <v>45735</v>
      </c>
      <c r="J272" s="2"/>
      <c r="K272" s="2" t="str">
        <f>_xlfn.XLOOKUP(demandas[[#This Row],[SquadID]],squads!A:A,squads!B:B,)</f>
        <v>Squad Crédito</v>
      </c>
      <c r="L272" s="2" t="str">
        <f>VLOOKUP(demandas[[#This Row],[StatusID]],status!A:B,2,)</f>
        <v>Em Andamento</v>
      </c>
    </row>
    <row r="273" spans="1:12" x14ac:dyDescent="0.25">
      <c r="A273">
        <v>272</v>
      </c>
      <c r="B273" s="1" t="s">
        <v>281</v>
      </c>
      <c r="C273">
        <v>2</v>
      </c>
      <c r="D273">
        <v>5</v>
      </c>
      <c r="E273">
        <v>3</v>
      </c>
      <c r="F273">
        <v>4</v>
      </c>
      <c r="G273">
        <v>5</v>
      </c>
      <c r="H273" s="2">
        <v>45367</v>
      </c>
      <c r="I273" s="2">
        <v>45392</v>
      </c>
      <c r="J273" s="2">
        <v>45380</v>
      </c>
      <c r="K273" s="2" t="str">
        <f>_xlfn.XLOOKUP(demandas[[#This Row],[SquadID]],squads!A:A,squads!B:B,)</f>
        <v>Squad Crédito</v>
      </c>
      <c r="L273" s="2" t="str">
        <f>VLOOKUP(demandas[[#This Row],[StatusID]],status!A:B,2,)</f>
        <v>Cancelado</v>
      </c>
    </row>
    <row r="274" spans="1:12" x14ac:dyDescent="0.25">
      <c r="A274">
        <v>273</v>
      </c>
      <c r="B274" s="1" t="s">
        <v>282</v>
      </c>
      <c r="C274">
        <v>5</v>
      </c>
      <c r="D274">
        <v>3</v>
      </c>
      <c r="E274">
        <v>4</v>
      </c>
      <c r="F274">
        <v>4</v>
      </c>
      <c r="G274">
        <v>15</v>
      </c>
      <c r="H274" s="2">
        <v>45329</v>
      </c>
      <c r="I274" s="2">
        <v>45362</v>
      </c>
      <c r="J274" s="2">
        <v>45372</v>
      </c>
      <c r="K274" s="2" t="str">
        <f>_xlfn.XLOOKUP(demandas[[#This Row],[SquadID]],squads!A:A,squads!B:B,)</f>
        <v>Squad Dados</v>
      </c>
      <c r="L274" s="2" t="str">
        <f>VLOOKUP(demandas[[#This Row],[StatusID]],status!A:B,2,)</f>
        <v>Concluído</v>
      </c>
    </row>
    <row r="275" spans="1:12" x14ac:dyDescent="0.25">
      <c r="A275">
        <v>274</v>
      </c>
      <c r="B275" s="1" t="s">
        <v>283</v>
      </c>
      <c r="C275">
        <v>7</v>
      </c>
      <c r="D275">
        <v>3</v>
      </c>
      <c r="E275">
        <v>2</v>
      </c>
      <c r="F275">
        <v>1</v>
      </c>
      <c r="G275">
        <v>21</v>
      </c>
      <c r="H275" s="2">
        <v>45655</v>
      </c>
      <c r="I275" s="2">
        <v>45665</v>
      </c>
      <c r="J275" s="2">
        <v>45662</v>
      </c>
      <c r="K275" s="2" t="str">
        <f>_xlfn.XLOOKUP(demandas[[#This Row],[SquadID]],squads!A:A,squads!B:B,)</f>
        <v>Squad Experiência</v>
      </c>
      <c r="L275" s="2" t="str">
        <f>VLOOKUP(demandas[[#This Row],[StatusID]],status!A:B,2,)</f>
        <v>Concluído</v>
      </c>
    </row>
    <row r="276" spans="1:12" x14ac:dyDescent="0.25">
      <c r="A276">
        <v>275</v>
      </c>
      <c r="B276" s="1" t="s">
        <v>284</v>
      </c>
      <c r="C276">
        <v>3</v>
      </c>
      <c r="D276">
        <v>3</v>
      </c>
      <c r="E276">
        <v>3</v>
      </c>
      <c r="F276">
        <v>1</v>
      </c>
      <c r="G276">
        <v>7</v>
      </c>
      <c r="H276" s="2">
        <v>45556</v>
      </c>
      <c r="I276" s="2">
        <v>45577</v>
      </c>
      <c r="J276" s="2">
        <v>45575</v>
      </c>
      <c r="K276" s="2" t="str">
        <f>_xlfn.XLOOKUP(demandas[[#This Row],[SquadID]],squads!A:A,squads!B:B,)</f>
        <v>Squad Onboarding</v>
      </c>
      <c r="L276" s="2" t="str">
        <f>VLOOKUP(demandas[[#This Row],[StatusID]],status!A:B,2,)</f>
        <v>Concluído</v>
      </c>
    </row>
    <row r="277" spans="1:12" x14ac:dyDescent="0.25">
      <c r="A277">
        <v>276</v>
      </c>
      <c r="B277" s="1" t="s">
        <v>285</v>
      </c>
      <c r="C277">
        <v>5</v>
      </c>
      <c r="D277">
        <v>2</v>
      </c>
      <c r="E277">
        <v>3</v>
      </c>
      <c r="F277">
        <v>2</v>
      </c>
      <c r="G277">
        <v>15</v>
      </c>
      <c r="H277" s="2">
        <v>45804</v>
      </c>
      <c r="I277" s="2">
        <v>45824</v>
      </c>
      <c r="J277" s="2"/>
      <c r="K277" s="2" t="str">
        <f>_xlfn.XLOOKUP(demandas[[#This Row],[SquadID]],squads!A:A,squads!B:B,)</f>
        <v>Squad Dados</v>
      </c>
      <c r="L277" s="2" t="str">
        <f>VLOOKUP(demandas[[#This Row],[StatusID]],status!A:B,2,)</f>
        <v>Em Andamento</v>
      </c>
    </row>
    <row r="278" spans="1:12" x14ac:dyDescent="0.25">
      <c r="A278">
        <v>277</v>
      </c>
      <c r="B278" s="1" t="s">
        <v>286</v>
      </c>
      <c r="C278">
        <v>4</v>
      </c>
      <c r="D278">
        <v>3</v>
      </c>
      <c r="E278">
        <v>2</v>
      </c>
      <c r="F278">
        <v>5</v>
      </c>
      <c r="G278">
        <v>10</v>
      </c>
      <c r="H278" s="2">
        <v>45410</v>
      </c>
      <c r="I278" s="2">
        <v>45420</v>
      </c>
      <c r="J278" s="2">
        <v>45414</v>
      </c>
      <c r="K278" s="2" t="str">
        <f>_xlfn.XLOOKUP(demandas[[#This Row],[SquadID]],squads!A:A,squads!B:B,)</f>
        <v>Squad Segurança</v>
      </c>
      <c r="L278" s="2" t="str">
        <f>VLOOKUP(demandas[[#This Row],[StatusID]],status!A:B,2,)</f>
        <v>Concluído</v>
      </c>
    </row>
    <row r="279" spans="1:12" x14ac:dyDescent="0.25">
      <c r="A279">
        <v>278</v>
      </c>
      <c r="B279" s="1" t="s">
        <v>287</v>
      </c>
      <c r="C279">
        <v>4</v>
      </c>
      <c r="D279">
        <v>1</v>
      </c>
      <c r="E279">
        <v>3</v>
      </c>
      <c r="F279">
        <v>2</v>
      </c>
      <c r="G279">
        <v>12</v>
      </c>
      <c r="H279" s="2">
        <v>45755</v>
      </c>
      <c r="I279" s="2">
        <v>45778</v>
      </c>
      <c r="J279" s="2"/>
      <c r="K279" s="2" t="str">
        <f>_xlfn.XLOOKUP(demandas[[#This Row],[SquadID]],squads!A:A,squads!B:B,)</f>
        <v>Squad Segurança</v>
      </c>
      <c r="L279" s="2" t="str">
        <f>VLOOKUP(demandas[[#This Row],[StatusID]],status!A:B,2,)</f>
        <v>Aberto</v>
      </c>
    </row>
    <row r="280" spans="1:12" x14ac:dyDescent="0.25">
      <c r="A280">
        <v>279</v>
      </c>
      <c r="B280" s="1" t="s">
        <v>288</v>
      </c>
      <c r="C280">
        <v>6</v>
      </c>
      <c r="D280">
        <v>4</v>
      </c>
      <c r="E280">
        <v>2</v>
      </c>
      <c r="F280">
        <v>4</v>
      </c>
      <c r="G280">
        <v>18</v>
      </c>
      <c r="H280" s="2">
        <v>45403</v>
      </c>
      <c r="I280" s="2">
        <v>45413</v>
      </c>
      <c r="J280" s="2"/>
      <c r="K280" s="2" t="str">
        <f>_xlfn.XLOOKUP(demandas[[#This Row],[SquadID]],squads!A:A,squads!B:B,)</f>
        <v>Squad Integrações</v>
      </c>
      <c r="L280" s="2" t="str">
        <f>VLOOKUP(demandas[[#This Row],[StatusID]],status!A:B,2,)</f>
        <v>Bloqueado</v>
      </c>
    </row>
    <row r="281" spans="1:12" x14ac:dyDescent="0.25">
      <c r="A281">
        <v>280</v>
      </c>
      <c r="B281" s="1" t="s">
        <v>289</v>
      </c>
      <c r="C281">
        <v>2</v>
      </c>
      <c r="D281">
        <v>3</v>
      </c>
      <c r="E281">
        <v>2</v>
      </c>
      <c r="F281">
        <v>1</v>
      </c>
      <c r="G281">
        <v>6</v>
      </c>
      <c r="H281" s="2">
        <v>45728</v>
      </c>
      <c r="I281" s="2">
        <v>45743</v>
      </c>
      <c r="J281" s="2">
        <v>45731</v>
      </c>
      <c r="K281" s="2" t="str">
        <f>_xlfn.XLOOKUP(demandas[[#This Row],[SquadID]],squads!A:A,squads!B:B,)</f>
        <v>Squad Crédito</v>
      </c>
      <c r="L281" s="2" t="str">
        <f>VLOOKUP(demandas[[#This Row],[StatusID]],status!A:B,2,)</f>
        <v>Concluído</v>
      </c>
    </row>
    <row r="282" spans="1:12" x14ac:dyDescent="0.25">
      <c r="A282">
        <v>281</v>
      </c>
      <c r="B282" s="1" t="s">
        <v>290</v>
      </c>
      <c r="C282">
        <v>5</v>
      </c>
      <c r="D282">
        <v>3</v>
      </c>
      <c r="E282">
        <v>3</v>
      </c>
      <c r="F282">
        <v>1</v>
      </c>
      <c r="G282">
        <v>15</v>
      </c>
      <c r="H282" s="2">
        <v>45494</v>
      </c>
      <c r="I282" s="2">
        <v>45519</v>
      </c>
      <c r="J282" s="2">
        <v>45517</v>
      </c>
      <c r="K282" s="2" t="str">
        <f>_xlfn.XLOOKUP(demandas[[#This Row],[SquadID]],squads!A:A,squads!B:B,)</f>
        <v>Squad Dados</v>
      </c>
      <c r="L282" s="2" t="str">
        <f>VLOOKUP(demandas[[#This Row],[StatusID]],status!A:B,2,)</f>
        <v>Concluído</v>
      </c>
    </row>
    <row r="283" spans="1:12" x14ac:dyDescent="0.25">
      <c r="A283">
        <v>282</v>
      </c>
      <c r="B283" s="1" t="s">
        <v>291</v>
      </c>
      <c r="C283">
        <v>2</v>
      </c>
      <c r="D283">
        <v>3</v>
      </c>
      <c r="E283">
        <v>3</v>
      </c>
      <c r="F283">
        <v>4</v>
      </c>
      <c r="G283">
        <v>4</v>
      </c>
      <c r="H283" s="2">
        <v>45396</v>
      </c>
      <c r="I283" s="2">
        <v>45416</v>
      </c>
      <c r="J283" s="2">
        <v>45400</v>
      </c>
      <c r="K283" s="2" t="str">
        <f>_xlfn.XLOOKUP(demandas[[#This Row],[SquadID]],squads!A:A,squads!B:B,)</f>
        <v>Squad Crédito</v>
      </c>
      <c r="L283" s="2" t="str">
        <f>VLOOKUP(demandas[[#This Row],[StatusID]],status!A:B,2,)</f>
        <v>Concluído</v>
      </c>
    </row>
    <row r="284" spans="1:12" x14ac:dyDescent="0.25">
      <c r="A284">
        <v>283</v>
      </c>
      <c r="B284" s="1" t="s">
        <v>292</v>
      </c>
      <c r="C284">
        <v>5</v>
      </c>
      <c r="D284">
        <v>3</v>
      </c>
      <c r="E284">
        <v>3</v>
      </c>
      <c r="F284">
        <v>6</v>
      </c>
      <c r="G284">
        <v>14</v>
      </c>
      <c r="H284" s="2">
        <v>45689</v>
      </c>
      <c r="I284" s="2">
        <v>45713</v>
      </c>
      <c r="J284" s="2">
        <v>45704</v>
      </c>
      <c r="K284" s="2" t="str">
        <f>_xlfn.XLOOKUP(demandas[[#This Row],[SquadID]],squads!A:A,squads!B:B,)</f>
        <v>Squad Dados</v>
      </c>
      <c r="L284" s="2" t="str">
        <f>VLOOKUP(demandas[[#This Row],[StatusID]],status!A:B,2,)</f>
        <v>Concluído</v>
      </c>
    </row>
    <row r="285" spans="1:12" x14ac:dyDescent="0.25">
      <c r="A285">
        <v>284</v>
      </c>
      <c r="B285" s="1" t="s">
        <v>293</v>
      </c>
      <c r="C285">
        <v>1</v>
      </c>
      <c r="D285">
        <v>3</v>
      </c>
      <c r="E285">
        <v>3</v>
      </c>
      <c r="F285">
        <v>4</v>
      </c>
      <c r="G285">
        <v>3</v>
      </c>
      <c r="H285" s="2">
        <v>45378</v>
      </c>
      <c r="I285" s="2">
        <v>45398</v>
      </c>
      <c r="J285" s="2">
        <v>45382</v>
      </c>
      <c r="K285" s="2" t="str">
        <f>_xlfn.XLOOKUP(demandas[[#This Row],[SquadID]],squads!A:A,squads!B:B,)</f>
        <v>Squad Pagamentos</v>
      </c>
      <c r="L285" s="2" t="str">
        <f>VLOOKUP(demandas[[#This Row],[StatusID]],status!A:B,2,)</f>
        <v>Concluído</v>
      </c>
    </row>
    <row r="286" spans="1:12" x14ac:dyDescent="0.25">
      <c r="A286">
        <v>285</v>
      </c>
      <c r="B286" s="1" t="s">
        <v>294</v>
      </c>
      <c r="C286">
        <v>3</v>
      </c>
      <c r="D286">
        <v>3</v>
      </c>
      <c r="E286">
        <v>2</v>
      </c>
      <c r="F286">
        <v>2</v>
      </c>
      <c r="G286">
        <v>9</v>
      </c>
      <c r="H286" s="2">
        <v>45433</v>
      </c>
      <c r="I286" s="2">
        <v>45447</v>
      </c>
      <c r="J286" s="2">
        <v>45442</v>
      </c>
      <c r="K286" s="2" t="str">
        <f>_xlfn.XLOOKUP(demandas[[#This Row],[SquadID]],squads!A:A,squads!B:B,)</f>
        <v>Squad Onboarding</v>
      </c>
      <c r="L286" s="2" t="str">
        <f>VLOOKUP(demandas[[#This Row],[StatusID]],status!A:B,2,)</f>
        <v>Concluído</v>
      </c>
    </row>
    <row r="287" spans="1:12" x14ac:dyDescent="0.25">
      <c r="A287">
        <v>286</v>
      </c>
      <c r="B287" s="1" t="s">
        <v>295</v>
      </c>
      <c r="C287">
        <v>7</v>
      </c>
      <c r="D287">
        <v>2</v>
      </c>
      <c r="E287">
        <v>4</v>
      </c>
      <c r="F287">
        <v>1</v>
      </c>
      <c r="G287">
        <v>19</v>
      </c>
      <c r="H287" s="2">
        <v>45793</v>
      </c>
      <c r="I287" s="2">
        <v>45825</v>
      </c>
      <c r="J287" s="2"/>
      <c r="K287" s="2" t="str">
        <f>_xlfn.XLOOKUP(demandas[[#This Row],[SquadID]],squads!A:A,squads!B:B,)</f>
        <v>Squad Experiência</v>
      </c>
      <c r="L287" s="2" t="str">
        <f>VLOOKUP(demandas[[#This Row],[StatusID]],status!A:B,2,)</f>
        <v>Em Andamento</v>
      </c>
    </row>
    <row r="288" spans="1:12" x14ac:dyDescent="0.25">
      <c r="A288">
        <v>287</v>
      </c>
      <c r="B288" s="1" t="s">
        <v>296</v>
      </c>
      <c r="C288">
        <v>7</v>
      </c>
      <c r="D288">
        <v>2</v>
      </c>
      <c r="E288">
        <v>3</v>
      </c>
      <c r="F288">
        <v>5</v>
      </c>
      <c r="G288">
        <v>19</v>
      </c>
      <c r="H288" s="2">
        <v>45788</v>
      </c>
      <c r="I288" s="2">
        <v>45808</v>
      </c>
      <c r="J288" s="2"/>
      <c r="K288" s="2" t="str">
        <f>_xlfn.XLOOKUP(demandas[[#This Row],[SquadID]],squads!A:A,squads!B:B,)</f>
        <v>Squad Experiência</v>
      </c>
      <c r="L288" s="2" t="str">
        <f>VLOOKUP(demandas[[#This Row],[StatusID]],status!A:B,2,)</f>
        <v>Em Andamento</v>
      </c>
    </row>
    <row r="289" spans="1:12" x14ac:dyDescent="0.25">
      <c r="A289">
        <v>288</v>
      </c>
      <c r="B289" s="1" t="s">
        <v>297</v>
      </c>
      <c r="C289">
        <v>8</v>
      </c>
      <c r="D289">
        <v>3</v>
      </c>
      <c r="E289">
        <v>3</v>
      </c>
      <c r="F289">
        <v>3</v>
      </c>
      <c r="G289">
        <v>24</v>
      </c>
      <c r="H289" s="2">
        <v>45795</v>
      </c>
      <c r="I289" s="2">
        <v>45819</v>
      </c>
      <c r="J289" s="2">
        <v>45801</v>
      </c>
      <c r="K289" s="2" t="str">
        <f>_xlfn.XLOOKUP(demandas[[#This Row],[SquadID]],squads!A:A,squads!B:B,)</f>
        <v>Squad Infraestrutura</v>
      </c>
      <c r="L289" s="2" t="str">
        <f>VLOOKUP(demandas[[#This Row],[StatusID]],status!A:B,2,)</f>
        <v>Concluído</v>
      </c>
    </row>
    <row r="290" spans="1:12" x14ac:dyDescent="0.25">
      <c r="A290">
        <v>289</v>
      </c>
      <c r="B290" s="1" t="s">
        <v>298</v>
      </c>
      <c r="C290">
        <v>5</v>
      </c>
      <c r="D290">
        <v>3</v>
      </c>
      <c r="E290">
        <v>3</v>
      </c>
      <c r="F290">
        <v>1</v>
      </c>
      <c r="G290">
        <v>13</v>
      </c>
      <c r="H290" s="2">
        <v>45573</v>
      </c>
      <c r="I290" s="2">
        <v>45594</v>
      </c>
      <c r="J290" s="2">
        <v>45588</v>
      </c>
      <c r="K290" s="2" t="str">
        <f>_xlfn.XLOOKUP(demandas[[#This Row],[SquadID]],squads!A:A,squads!B:B,)</f>
        <v>Squad Dados</v>
      </c>
      <c r="L290" s="2" t="str">
        <f>VLOOKUP(demandas[[#This Row],[StatusID]],status!A:B,2,)</f>
        <v>Concluído</v>
      </c>
    </row>
    <row r="291" spans="1:12" x14ac:dyDescent="0.25">
      <c r="A291">
        <v>290</v>
      </c>
      <c r="B291" s="1" t="s">
        <v>299</v>
      </c>
      <c r="C291">
        <v>6</v>
      </c>
      <c r="D291">
        <v>3</v>
      </c>
      <c r="E291">
        <v>3</v>
      </c>
      <c r="F291">
        <v>3</v>
      </c>
      <c r="G291">
        <v>16</v>
      </c>
      <c r="H291" s="2">
        <v>45408</v>
      </c>
      <c r="I291" s="2">
        <v>45430</v>
      </c>
      <c r="J291" s="2">
        <v>45436</v>
      </c>
      <c r="K291" s="2" t="str">
        <f>_xlfn.XLOOKUP(demandas[[#This Row],[SquadID]],squads!A:A,squads!B:B,)</f>
        <v>Squad Integrações</v>
      </c>
      <c r="L291" s="2" t="str">
        <f>VLOOKUP(demandas[[#This Row],[StatusID]],status!A:B,2,)</f>
        <v>Concluído</v>
      </c>
    </row>
    <row r="292" spans="1:12" x14ac:dyDescent="0.25">
      <c r="A292">
        <v>291</v>
      </c>
      <c r="B292" s="1" t="s">
        <v>300</v>
      </c>
      <c r="C292">
        <v>7</v>
      </c>
      <c r="D292">
        <v>2</v>
      </c>
      <c r="E292">
        <v>1</v>
      </c>
      <c r="F292">
        <v>4</v>
      </c>
      <c r="G292">
        <v>21</v>
      </c>
      <c r="H292" s="2">
        <v>45515</v>
      </c>
      <c r="I292" s="2">
        <v>45524</v>
      </c>
      <c r="J292" s="2"/>
      <c r="K292" s="2" t="str">
        <f>_xlfn.XLOOKUP(demandas[[#This Row],[SquadID]],squads!A:A,squads!B:B,)</f>
        <v>Squad Experiência</v>
      </c>
      <c r="L292" s="2" t="str">
        <f>VLOOKUP(demandas[[#This Row],[StatusID]],status!A:B,2,)</f>
        <v>Em Andamento</v>
      </c>
    </row>
    <row r="293" spans="1:12" x14ac:dyDescent="0.25">
      <c r="A293">
        <v>292</v>
      </c>
      <c r="B293" s="1" t="s">
        <v>301</v>
      </c>
      <c r="C293">
        <v>5</v>
      </c>
      <c r="D293">
        <v>2</v>
      </c>
      <c r="E293">
        <v>2</v>
      </c>
      <c r="F293">
        <v>5</v>
      </c>
      <c r="G293">
        <v>13</v>
      </c>
      <c r="H293" s="2">
        <v>45752</v>
      </c>
      <c r="I293" s="2">
        <v>45764</v>
      </c>
      <c r="J293" s="2"/>
      <c r="K293" s="2" t="str">
        <f>_xlfn.XLOOKUP(demandas[[#This Row],[SquadID]],squads!A:A,squads!B:B,)</f>
        <v>Squad Dados</v>
      </c>
      <c r="L293" s="2" t="str">
        <f>VLOOKUP(demandas[[#This Row],[StatusID]],status!A:B,2,)</f>
        <v>Em Andamento</v>
      </c>
    </row>
    <row r="294" spans="1:12" x14ac:dyDescent="0.25">
      <c r="A294">
        <v>293</v>
      </c>
      <c r="B294" s="1" t="s">
        <v>302</v>
      </c>
      <c r="C294">
        <v>1</v>
      </c>
      <c r="D294">
        <v>4</v>
      </c>
      <c r="E294">
        <v>4</v>
      </c>
      <c r="F294">
        <v>1</v>
      </c>
      <c r="G294">
        <v>1</v>
      </c>
      <c r="H294" s="2">
        <v>45506</v>
      </c>
      <c r="I294" s="2">
        <v>45539</v>
      </c>
      <c r="J294" s="2"/>
      <c r="K294" s="2" t="str">
        <f>_xlfn.XLOOKUP(demandas[[#This Row],[SquadID]],squads!A:A,squads!B:B,)</f>
        <v>Squad Pagamentos</v>
      </c>
      <c r="L294" s="2" t="str">
        <f>VLOOKUP(demandas[[#This Row],[StatusID]],status!A:B,2,)</f>
        <v>Bloqueado</v>
      </c>
    </row>
    <row r="295" spans="1:12" x14ac:dyDescent="0.25">
      <c r="A295">
        <v>294</v>
      </c>
      <c r="B295" s="1" t="s">
        <v>303</v>
      </c>
      <c r="C295">
        <v>5</v>
      </c>
      <c r="D295">
        <v>3</v>
      </c>
      <c r="E295">
        <v>2</v>
      </c>
      <c r="F295">
        <v>1</v>
      </c>
      <c r="G295">
        <v>13</v>
      </c>
      <c r="H295" s="2">
        <v>45503</v>
      </c>
      <c r="I295" s="2">
        <v>45511</v>
      </c>
      <c r="J295" s="2">
        <v>45506</v>
      </c>
      <c r="K295" s="2" t="str">
        <f>_xlfn.XLOOKUP(demandas[[#This Row],[SquadID]],squads!A:A,squads!B:B,)</f>
        <v>Squad Dados</v>
      </c>
      <c r="L295" s="2" t="str">
        <f>VLOOKUP(demandas[[#This Row],[StatusID]],status!A:B,2,)</f>
        <v>Concluído</v>
      </c>
    </row>
    <row r="296" spans="1:12" x14ac:dyDescent="0.25">
      <c r="A296">
        <v>295</v>
      </c>
      <c r="B296" s="1" t="s">
        <v>304</v>
      </c>
      <c r="C296">
        <v>8</v>
      </c>
      <c r="D296">
        <v>5</v>
      </c>
      <c r="E296">
        <v>2</v>
      </c>
      <c r="F296">
        <v>3</v>
      </c>
      <c r="G296">
        <v>24</v>
      </c>
      <c r="H296" s="2">
        <v>45389</v>
      </c>
      <c r="I296" s="2">
        <v>45399</v>
      </c>
      <c r="J296" s="2">
        <v>45414</v>
      </c>
      <c r="K296" s="2" t="str">
        <f>_xlfn.XLOOKUP(demandas[[#This Row],[SquadID]],squads!A:A,squads!B:B,)</f>
        <v>Squad Infraestrutura</v>
      </c>
      <c r="L296" s="2" t="str">
        <f>VLOOKUP(demandas[[#This Row],[StatusID]],status!A:B,2,)</f>
        <v>Cancelado</v>
      </c>
    </row>
    <row r="297" spans="1:12" x14ac:dyDescent="0.25">
      <c r="A297">
        <v>296</v>
      </c>
      <c r="B297" s="1" t="s">
        <v>305</v>
      </c>
      <c r="C297">
        <v>8</v>
      </c>
      <c r="D297">
        <v>3</v>
      </c>
      <c r="E297">
        <v>4</v>
      </c>
      <c r="F297">
        <v>1</v>
      </c>
      <c r="G297">
        <v>22</v>
      </c>
      <c r="H297" s="2">
        <v>45547</v>
      </c>
      <c r="I297" s="2">
        <v>45577</v>
      </c>
      <c r="J297" s="2">
        <v>45590</v>
      </c>
      <c r="K297" s="2" t="str">
        <f>_xlfn.XLOOKUP(demandas[[#This Row],[SquadID]],squads!A:A,squads!B:B,)</f>
        <v>Squad Infraestrutura</v>
      </c>
      <c r="L297" s="2" t="str">
        <f>VLOOKUP(demandas[[#This Row],[StatusID]],status!A:B,2,)</f>
        <v>Concluído</v>
      </c>
    </row>
    <row r="298" spans="1:12" x14ac:dyDescent="0.25">
      <c r="A298">
        <v>297</v>
      </c>
      <c r="B298" s="1" t="s">
        <v>306</v>
      </c>
      <c r="C298">
        <v>5</v>
      </c>
      <c r="D298">
        <v>3</v>
      </c>
      <c r="E298">
        <v>3</v>
      </c>
      <c r="F298">
        <v>3</v>
      </c>
      <c r="G298">
        <v>14</v>
      </c>
      <c r="H298" s="2">
        <v>45716</v>
      </c>
      <c r="I298" s="2">
        <v>45740</v>
      </c>
      <c r="J298" s="2">
        <v>45719</v>
      </c>
      <c r="K298" s="2" t="str">
        <f>_xlfn.XLOOKUP(demandas[[#This Row],[SquadID]],squads!A:A,squads!B:B,)</f>
        <v>Squad Dados</v>
      </c>
      <c r="L298" s="2" t="str">
        <f>VLOOKUP(demandas[[#This Row],[StatusID]],status!A:B,2,)</f>
        <v>Concluído</v>
      </c>
    </row>
    <row r="299" spans="1:12" x14ac:dyDescent="0.25">
      <c r="A299">
        <v>298</v>
      </c>
      <c r="B299" s="1" t="s">
        <v>307</v>
      </c>
      <c r="C299">
        <v>5</v>
      </c>
      <c r="D299">
        <v>2</v>
      </c>
      <c r="E299">
        <v>2</v>
      </c>
      <c r="F299">
        <v>5</v>
      </c>
      <c r="G299">
        <v>14</v>
      </c>
      <c r="H299" s="2">
        <v>45757</v>
      </c>
      <c r="I299" s="2">
        <v>45772</v>
      </c>
      <c r="J299" s="2"/>
      <c r="K299" s="2" t="str">
        <f>_xlfn.XLOOKUP(demandas[[#This Row],[SquadID]],squads!A:A,squads!B:B,)</f>
        <v>Squad Dados</v>
      </c>
      <c r="L299" s="2" t="str">
        <f>VLOOKUP(demandas[[#This Row],[StatusID]],status!A:B,2,)</f>
        <v>Em Andamento</v>
      </c>
    </row>
    <row r="300" spans="1:12" x14ac:dyDescent="0.25">
      <c r="A300">
        <v>299</v>
      </c>
      <c r="B300" s="1" t="s">
        <v>308</v>
      </c>
      <c r="C300">
        <v>7</v>
      </c>
      <c r="D300">
        <v>3</v>
      </c>
      <c r="E300">
        <v>4</v>
      </c>
      <c r="F300">
        <v>1</v>
      </c>
      <c r="G300">
        <v>20</v>
      </c>
      <c r="H300" s="2">
        <v>45658</v>
      </c>
      <c r="I300" s="2">
        <v>45687</v>
      </c>
      <c r="J300" s="2">
        <v>45672</v>
      </c>
      <c r="K300" s="2" t="str">
        <f>_xlfn.XLOOKUP(demandas[[#This Row],[SquadID]],squads!A:A,squads!B:B,)</f>
        <v>Squad Experiência</v>
      </c>
      <c r="L300" s="2" t="str">
        <f>VLOOKUP(demandas[[#This Row],[StatusID]],status!A:B,2,)</f>
        <v>Concluído</v>
      </c>
    </row>
    <row r="301" spans="1:12" x14ac:dyDescent="0.25">
      <c r="A301">
        <v>300</v>
      </c>
      <c r="B301" s="1" t="s">
        <v>309</v>
      </c>
      <c r="C301">
        <v>2</v>
      </c>
      <c r="D301">
        <v>3</v>
      </c>
      <c r="E301">
        <v>2</v>
      </c>
      <c r="F301">
        <v>4</v>
      </c>
      <c r="G301">
        <v>5</v>
      </c>
      <c r="H301" s="2">
        <v>45425</v>
      </c>
      <c r="I301" s="2">
        <v>45440</v>
      </c>
      <c r="J301" s="2">
        <v>45453</v>
      </c>
      <c r="K301" s="2" t="str">
        <f>_xlfn.XLOOKUP(demandas[[#This Row],[SquadID]],squads!A:A,squads!B:B,)</f>
        <v>Squad Crédito</v>
      </c>
      <c r="L301" s="2" t="str">
        <f>VLOOKUP(demandas[[#This Row],[StatusID]],status!A:B,2,)</f>
        <v>Concluído</v>
      </c>
    </row>
    <row r="302" spans="1:12" x14ac:dyDescent="0.25">
      <c r="A302">
        <v>301</v>
      </c>
      <c r="B302" s="1" t="s">
        <v>310</v>
      </c>
      <c r="C302">
        <v>1</v>
      </c>
      <c r="D302">
        <v>3</v>
      </c>
      <c r="E302">
        <v>3</v>
      </c>
      <c r="F302">
        <v>4</v>
      </c>
      <c r="G302">
        <v>1</v>
      </c>
      <c r="H302" s="2">
        <v>45419</v>
      </c>
      <c r="I302" s="2">
        <v>45439</v>
      </c>
      <c r="J302" s="2">
        <v>45433</v>
      </c>
      <c r="K302" s="2" t="str">
        <f>_xlfn.XLOOKUP(demandas[[#This Row],[SquadID]],squads!A:A,squads!B:B,)</f>
        <v>Squad Pagamentos</v>
      </c>
      <c r="L302" s="2" t="str">
        <f>VLOOKUP(demandas[[#This Row],[StatusID]],status!A:B,2,)</f>
        <v>Concluído</v>
      </c>
    </row>
    <row r="303" spans="1:12" x14ac:dyDescent="0.25">
      <c r="A303">
        <v>302</v>
      </c>
      <c r="B303" s="1" t="s">
        <v>311</v>
      </c>
      <c r="C303">
        <v>8</v>
      </c>
      <c r="D303">
        <v>2</v>
      </c>
      <c r="E303">
        <v>4</v>
      </c>
      <c r="F303">
        <v>5</v>
      </c>
      <c r="G303">
        <v>23</v>
      </c>
      <c r="H303" s="2">
        <v>45454</v>
      </c>
      <c r="I303" s="2">
        <v>45486</v>
      </c>
      <c r="J303" s="2"/>
      <c r="K303" s="2" t="str">
        <f>_xlfn.XLOOKUP(demandas[[#This Row],[SquadID]],squads!A:A,squads!B:B,)</f>
        <v>Squad Infraestrutura</v>
      </c>
      <c r="L303" s="2" t="str">
        <f>VLOOKUP(demandas[[#This Row],[StatusID]],status!A:B,2,)</f>
        <v>Em Andamento</v>
      </c>
    </row>
    <row r="304" spans="1:12" x14ac:dyDescent="0.25">
      <c r="A304">
        <v>303</v>
      </c>
      <c r="B304" s="1" t="s">
        <v>312</v>
      </c>
      <c r="C304">
        <v>2</v>
      </c>
      <c r="D304">
        <v>3</v>
      </c>
      <c r="E304">
        <v>3</v>
      </c>
      <c r="F304">
        <v>5</v>
      </c>
      <c r="G304">
        <v>4</v>
      </c>
      <c r="H304" s="2">
        <v>45345</v>
      </c>
      <c r="I304" s="2">
        <v>45369</v>
      </c>
      <c r="J304" s="2">
        <v>45382</v>
      </c>
      <c r="K304" s="2" t="str">
        <f>_xlfn.XLOOKUP(demandas[[#This Row],[SquadID]],squads!A:A,squads!B:B,)</f>
        <v>Squad Crédito</v>
      </c>
      <c r="L304" s="2" t="str">
        <f>VLOOKUP(demandas[[#This Row],[StatusID]],status!A:B,2,)</f>
        <v>Concluído</v>
      </c>
    </row>
    <row r="305" spans="1:12" x14ac:dyDescent="0.25">
      <c r="A305">
        <v>304</v>
      </c>
      <c r="B305" s="1" t="s">
        <v>313</v>
      </c>
      <c r="C305">
        <v>3</v>
      </c>
      <c r="D305">
        <v>2</v>
      </c>
      <c r="E305">
        <v>1</v>
      </c>
      <c r="F305">
        <v>1</v>
      </c>
      <c r="G305">
        <v>7</v>
      </c>
      <c r="H305" s="2">
        <v>45780</v>
      </c>
      <c r="I305" s="2">
        <v>45784</v>
      </c>
      <c r="J305" s="2"/>
      <c r="K305" s="2" t="str">
        <f>_xlfn.XLOOKUP(demandas[[#This Row],[SquadID]],squads!A:A,squads!B:B,)</f>
        <v>Squad Onboarding</v>
      </c>
      <c r="L305" s="2" t="str">
        <f>VLOOKUP(demandas[[#This Row],[StatusID]],status!A:B,2,)</f>
        <v>Em Andamento</v>
      </c>
    </row>
    <row r="306" spans="1:12" x14ac:dyDescent="0.25">
      <c r="A306">
        <v>305</v>
      </c>
      <c r="B306" s="1" t="s">
        <v>314</v>
      </c>
      <c r="C306">
        <v>5</v>
      </c>
      <c r="D306">
        <v>3</v>
      </c>
      <c r="E306">
        <v>3</v>
      </c>
      <c r="F306">
        <v>1</v>
      </c>
      <c r="G306">
        <v>14</v>
      </c>
      <c r="H306" s="2">
        <v>45415</v>
      </c>
      <c r="I306" s="2">
        <v>45439</v>
      </c>
      <c r="J306" s="2">
        <v>45423</v>
      </c>
      <c r="K306" s="2" t="str">
        <f>_xlfn.XLOOKUP(demandas[[#This Row],[SquadID]],squads!A:A,squads!B:B,)</f>
        <v>Squad Dados</v>
      </c>
      <c r="L306" s="2" t="str">
        <f>VLOOKUP(demandas[[#This Row],[StatusID]],status!A:B,2,)</f>
        <v>Concluído</v>
      </c>
    </row>
    <row r="307" spans="1:12" x14ac:dyDescent="0.25">
      <c r="A307">
        <v>306</v>
      </c>
      <c r="B307" s="1" t="s">
        <v>315</v>
      </c>
      <c r="C307">
        <v>1</v>
      </c>
      <c r="D307">
        <v>3</v>
      </c>
      <c r="E307">
        <v>4</v>
      </c>
      <c r="F307">
        <v>1</v>
      </c>
      <c r="G307">
        <v>2</v>
      </c>
      <c r="H307" s="2">
        <v>45598</v>
      </c>
      <c r="I307" s="2">
        <v>45628</v>
      </c>
      <c r="J307" s="2">
        <v>45642</v>
      </c>
      <c r="K307" s="2" t="str">
        <f>_xlfn.XLOOKUP(demandas[[#This Row],[SquadID]],squads!A:A,squads!B:B,)</f>
        <v>Squad Pagamentos</v>
      </c>
      <c r="L307" s="2" t="str">
        <f>VLOOKUP(demandas[[#This Row],[StatusID]],status!A:B,2,)</f>
        <v>Concluído</v>
      </c>
    </row>
    <row r="308" spans="1:12" x14ac:dyDescent="0.25">
      <c r="A308">
        <v>307</v>
      </c>
      <c r="B308" s="1" t="s">
        <v>316</v>
      </c>
      <c r="C308">
        <v>5</v>
      </c>
      <c r="D308">
        <v>3</v>
      </c>
      <c r="E308">
        <v>3</v>
      </c>
      <c r="F308">
        <v>1</v>
      </c>
      <c r="G308">
        <v>15</v>
      </c>
      <c r="H308" s="2">
        <v>45300</v>
      </c>
      <c r="I308" s="2">
        <v>45320</v>
      </c>
      <c r="J308" s="2">
        <v>45331</v>
      </c>
      <c r="K308" s="2" t="str">
        <f>_xlfn.XLOOKUP(demandas[[#This Row],[SquadID]],squads!A:A,squads!B:B,)</f>
        <v>Squad Dados</v>
      </c>
      <c r="L308" s="2" t="str">
        <f>VLOOKUP(demandas[[#This Row],[StatusID]],status!A:B,2,)</f>
        <v>Concluído</v>
      </c>
    </row>
    <row r="309" spans="1:12" x14ac:dyDescent="0.25">
      <c r="A309">
        <v>308</v>
      </c>
      <c r="B309" s="1" t="s">
        <v>317</v>
      </c>
      <c r="C309">
        <v>1</v>
      </c>
      <c r="D309">
        <v>2</v>
      </c>
      <c r="E309">
        <v>3</v>
      </c>
      <c r="F309">
        <v>4</v>
      </c>
      <c r="G309">
        <v>1</v>
      </c>
      <c r="H309" s="2">
        <v>45380</v>
      </c>
      <c r="I309" s="2">
        <v>45399</v>
      </c>
      <c r="J309" s="2"/>
      <c r="K309" s="2" t="str">
        <f>_xlfn.XLOOKUP(demandas[[#This Row],[SquadID]],squads!A:A,squads!B:B,)</f>
        <v>Squad Pagamentos</v>
      </c>
      <c r="L309" s="2" t="str">
        <f>VLOOKUP(demandas[[#This Row],[StatusID]],status!A:B,2,)</f>
        <v>Em Andamento</v>
      </c>
    </row>
    <row r="310" spans="1:12" x14ac:dyDescent="0.25">
      <c r="A310">
        <v>309</v>
      </c>
      <c r="B310" s="1" t="s">
        <v>318</v>
      </c>
      <c r="C310">
        <v>5</v>
      </c>
      <c r="D310">
        <v>3</v>
      </c>
      <c r="E310">
        <v>3</v>
      </c>
      <c r="F310">
        <v>6</v>
      </c>
      <c r="G310">
        <v>14</v>
      </c>
      <c r="H310" s="2">
        <v>45435</v>
      </c>
      <c r="I310" s="2">
        <v>45456</v>
      </c>
      <c r="J310" s="2">
        <v>45453</v>
      </c>
      <c r="K310" s="2" t="str">
        <f>_xlfn.XLOOKUP(demandas[[#This Row],[SquadID]],squads!A:A,squads!B:B,)</f>
        <v>Squad Dados</v>
      </c>
      <c r="L310" s="2" t="str">
        <f>VLOOKUP(demandas[[#This Row],[StatusID]],status!A:B,2,)</f>
        <v>Concluído</v>
      </c>
    </row>
    <row r="311" spans="1:12" x14ac:dyDescent="0.25">
      <c r="A311">
        <v>310</v>
      </c>
      <c r="B311" s="1" t="s">
        <v>319</v>
      </c>
      <c r="C311">
        <v>5</v>
      </c>
      <c r="D311">
        <v>3</v>
      </c>
      <c r="E311">
        <v>3</v>
      </c>
      <c r="F311">
        <v>4</v>
      </c>
      <c r="G311">
        <v>15</v>
      </c>
      <c r="H311" s="2">
        <v>45319</v>
      </c>
      <c r="I311" s="2">
        <v>45341</v>
      </c>
      <c r="J311" s="2">
        <v>45326</v>
      </c>
      <c r="K311" s="2" t="str">
        <f>_xlfn.XLOOKUP(demandas[[#This Row],[SquadID]],squads!A:A,squads!B:B,)</f>
        <v>Squad Dados</v>
      </c>
      <c r="L311" s="2" t="str">
        <f>VLOOKUP(demandas[[#This Row],[StatusID]],status!A:B,2,)</f>
        <v>Concluído</v>
      </c>
    </row>
    <row r="312" spans="1:12" x14ac:dyDescent="0.25">
      <c r="A312">
        <v>311</v>
      </c>
      <c r="B312" s="1" t="s">
        <v>320</v>
      </c>
      <c r="C312">
        <v>3</v>
      </c>
      <c r="D312">
        <v>2</v>
      </c>
      <c r="E312">
        <v>3</v>
      </c>
      <c r="F312">
        <v>4</v>
      </c>
      <c r="G312">
        <v>7</v>
      </c>
      <c r="H312" s="2">
        <v>45798</v>
      </c>
      <c r="I312" s="2">
        <v>45822</v>
      </c>
      <c r="J312" s="2"/>
      <c r="K312" s="2" t="str">
        <f>_xlfn.XLOOKUP(demandas[[#This Row],[SquadID]],squads!A:A,squads!B:B,)</f>
        <v>Squad Onboarding</v>
      </c>
      <c r="L312" s="2" t="str">
        <f>VLOOKUP(demandas[[#This Row],[StatusID]],status!A:B,2,)</f>
        <v>Em Andamento</v>
      </c>
    </row>
    <row r="313" spans="1:12" x14ac:dyDescent="0.25">
      <c r="A313">
        <v>312</v>
      </c>
      <c r="B313" s="1" t="s">
        <v>321</v>
      </c>
      <c r="C313">
        <v>5</v>
      </c>
      <c r="D313">
        <v>2</v>
      </c>
      <c r="E313">
        <v>1</v>
      </c>
      <c r="F313">
        <v>5</v>
      </c>
      <c r="G313">
        <v>13</v>
      </c>
      <c r="H313" s="2">
        <v>45661</v>
      </c>
      <c r="I313" s="2">
        <v>45669</v>
      </c>
      <c r="J313" s="2"/>
      <c r="K313" s="2" t="str">
        <f>_xlfn.XLOOKUP(demandas[[#This Row],[SquadID]],squads!A:A,squads!B:B,)</f>
        <v>Squad Dados</v>
      </c>
      <c r="L313" s="2" t="str">
        <f>VLOOKUP(demandas[[#This Row],[StatusID]],status!A:B,2,)</f>
        <v>Em Andamento</v>
      </c>
    </row>
    <row r="314" spans="1:12" x14ac:dyDescent="0.25">
      <c r="A314">
        <v>313</v>
      </c>
      <c r="B314" s="1" t="s">
        <v>322</v>
      </c>
      <c r="C314">
        <v>7</v>
      </c>
      <c r="D314">
        <v>1</v>
      </c>
      <c r="E314">
        <v>3</v>
      </c>
      <c r="F314">
        <v>3</v>
      </c>
      <c r="G314">
        <v>19</v>
      </c>
      <c r="H314" s="2">
        <v>45774</v>
      </c>
      <c r="I314" s="2">
        <v>45793</v>
      </c>
      <c r="J314" s="2"/>
      <c r="K314" s="2" t="str">
        <f>_xlfn.XLOOKUP(demandas[[#This Row],[SquadID]],squads!A:A,squads!B:B,)</f>
        <v>Squad Experiência</v>
      </c>
      <c r="L314" s="2" t="str">
        <f>VLOOKUP(demandas[[#This Row],[StatusID]],status!A:B,2,)</f>
        <v>Aberto</v>
      </c>
    </row>
    <row r="315" spans="1:12" x14ac:dyDescent="0.25">
      <c r="A315">
        <v>314</v>
      </c>
      <c r="B315" s="1" t="s">
        <v>323</v>
      </c>
      <c r="C315">
        <v>1</v>
      </c>
      <c r="D315">
        <v>2</v>
      </c>
      <c r="E315">
        <v>2</v>
      </c>
      <c r="F315">
        <v>5</v>
      </c>
      <c r="G315">
        <v>2</v>
      </c>
      <c r="H315" s="2">
        <v>45810</v>
      </c>
      <c r="I315" s="2">
        <v>45822</v>
      </c>
      <c r="J315" s="2"/>
      <c r="K315" s="2" t="str">
        <f>_xlfn.XLOOKUP(demandas[[#This Row],[SquadID]],squads!A:A,squads!B:B,)</f>
        <v>Squad Pagamentos</v>
      </c>
      <c r="L315" s="2" t="str">
        <f>VLOOKUP(demandas[[#This Row],[StatusID]],status!A:B,2,)</f>
        <v>Em Andamento</v>
      </c>
    </row>
    <row r="316" spans="1:12" x14ac:dyDescent="0.25">
      <c r="A316">
        <v>315</v>
      </c>
      <c r="B316" s="1" t="s">
        <v>324</v>
      </c>
      <c r="C316">
        <v>6</v>
      </c>
      <c r="D316">
        <v>2</v>
      </c>
      <c r="E316">
        <v>3</v>
      </c>
      <c r="F316">
        <v>2</v>
      </c>
      <c r="G316">
        <v>18</v>
      </c>
      <c r="H316" s="2">
        <v>45448</v>
      </c>
      <c r="I316" s="2">
        <v>45470</v>
      </c>
      <c r="J316" s="2"/>
      <c r="K316" s="2" t="str">
        <f>_xlfn.XLOOKUP(demandas[[#This Row],[SquadID]],squads!A:A,squads!B:B,)</f>
        <v>Squad Integrações</v>
      </c>
      <c r="L316" s="2" t="str">
        <f>VLOOKUP(demandas[[#This Row],[StatusID]],status!A:B,2,)</f>
        <v>Em Andamento</v>
      </c>
    </row>
    <row r="317" spans="1:12" x14ac:dyDescent="0.25">
      <c r="A317">
        <v>316</v>
      </c>
      <c r="B317" s="1" t="s">
        <v>325</v>
      </c>
      <c r="C317">
        <v>5</v>
      </c>
      <c r="D317">
        <v>3</v>
      </c>
      <c r="E317">
        <v>2</v>
      </c>
      <c r="F317">
        <v>4</v>
      </c>
      <c r="G317">
        <v>15</v>
      </c>
      <c r="H317" s="2">
        <v>45626</v>
      </c>
      <c r="I317" s="2">
        <v>45640</v>
      </c>
      <c r="J317" s="2">
        <v>45651</v>
      </c>
      <c r="K317" s="2" t="str">
        <f>_xlfn.XLOOKUP(demandas[[#This Row],[SquadID]],squads!A:A,squads!B:B,)</f>
        <v>Squad Dados</v>
      </c>
      <c r="L317" s="2" t="str">
        <f>VLOOKUP(demandas[[#This Row],[StatusID]],status!A:B,2,)</f>
        <v>Concluído</v>
      </c>
    </row>
    <row r="318" spans="1:12" x14ac:dyDescent="0.25">
      <c r="A318">
        <v>317</v>
      </c>
      <c r="B318" s="1" t="s">
        <v>326</v>
      </c>
      <c r="C318">
        <v>5</v>
      </c>
      <c r="D318">
        <v>2</v>
      </c>
      <c r="E318">
        <v>2</v>
      </c>
      <c r="F318">
        <v>2</v>
      </c>
      <c r="G318">
        <v>13</v>
      </c>
      <c r="H318" s="2">
        <v>45351</v>
      </c>
      <c r="I318" s="2">
        <v>45362</v>
      </c>
      <c r="J318" s="2"/>
      <c r="K318" s="2" t="str">
        <f>_xlfn.XLOOKUP(demandas[[#This Row],[SquadID]],squads!A:A,squads!B:B,)</f>
        <v>Squad Dados</v>
      </c>
      <c r="L318" s="2" t="str">
        <f>VLOOKUP(demandas[[#This Row],[StatusID]],status!A:B,2,)</f>
        <v>Em Andamento</v>
      </c>
    </row>
    <row r="319" spans="1:12" x14ac:dyDescent="0.25">
      <c r="A319">
        <v>318</v>
      </c>
      <c r="B319" s="1" t="s">
        <v>327</v>
      </c>
      <c r="C319">
        <v>1</v>
      </c>
      <c r="D319">
        <v>1</v>
      </c>
      <c r="E319">
        <v>3</v>
      </c>
      <c r="F319">
        <v>1</v>
      </c>
      <c r="G319">
        <v>3</v>
      </c>
      <c r="H319" s="2">
        <v>45471</v>
      </c>
      <c r="I319" s="2">
        <v>45490</v>
      </c>
      <c r="J319" s="2"/>
      <c r="K319" s="2" t="str">
        <f>_xlfn.XLOOKUP(demandas[[#This Row],[SquadID]],squads!A:A,squads!B:B,)</f>
        <v>Squad Pagamentos</v>
      </c>
      <c r="L319" s="2" t="str">
        <f>VLOOKUP(demandas[[#This Row],[StatusID]],status!A:B,2,)</f>
        <v>Aberto</v>
      </c>
    </row>
    <row r="320" spans="1:12" x14ac:dyDescent="0.25">
      <c r="A320">
        <v>319</v>
      </c>
      <c r="B320" s="1" t="s">
        <v>328</v>
      </c>
      <c r="C320">
        <v>6</v>
      </c>
      <c r="D320">
        <v>1</v>
      </c>
      <c r="E320">
        <v>2</v>
      </c>
      <c r="F320">
        <v>6</v>
      </c>
      <c r="G320">
        <v>18</v>
      </c>
      <c r="H320" s="2">
        <v>45821</v>
      </c>
      <c r="I320" s="2">
        <v>45833</v>
      </c>
      <c r="J320" s="2"/>
      <c r="K320" s="2" t="str">
        <f>_xlfn.XLOOKUP(demandas[[#This Row],[SquadID]],squads!A:A,squads!B:B,)</f>
        <v>Squad Integrações</v>
      </c>
      <c r="L320" s="2" t="str">
        <f>VLOOKUP(demandas[[#This Row],[StatusID]],status!A:B,2,)</f>
        <v>Aberto</v>
      </c>
    </row>
    <row r="321" spans="1:12" x14ac:dyDescent="0.25">
      <c r="A321">
        <v>320</v>
      </c>
      <c r="B321" s="1" t="s">
        <v>329</v>
      </c>
      <c r="C321">
        <v>6</v>
      </c>
      <c r="D321">
        <v>3</v>
      </c>
      <c r="E321">
        <v>4</v>
      </c>
      <c r="F321">
        <v>4</v>
      </c>
      <c r="G321">
        <v>16</v>
      </c>
      <c r="H321" s="2">
        <v>45322</v>
      </c>
      <c r="I321" s="2">
        <v>45355</v>
      </c>
      <c r="J321" s="2">
        <v>45327</v>
      </c>
      <c r="K321" s="2" t="str">
        <f>_xlfn.XLOOKUP(demandas[[#This Row],[SquadID]],squads!A:A,squads!B:B,)</f>
        <v>Squad Integrações</v>
      </c>
      <c r="L321" s="2" t="str">
        <f>VLOOKUP(demandas[[#This Row],[StatusID]],status!A:B,2,)</f>
        <v>Concluído</v>
      </c>
    </row>
    <row r="322" spans="1:12" x14ac:dyDescent="0.25">
      <c r="A322">
        <v>321</v>
      </c>
      <c r="B322" s="1" t="s">
        <v>330</v>
      </c>
      <c r="C322">
        <v>6</v>
      </c>
      <c r="D322">
        <v>1</v>
      </c>
      <c r="E322">
        <v>3</v>
      </c>
      <c r="F322">
        <v>1</v>
      </c>
      <c r="G322">
        <v>17</v>
      </c>
      <c r="H322" s="2">
        <v>45815</v>
      </c>
      <c r="I322" s="2">
        <v>45838</v>
      </c>
      <c r="J322" s="2"/>
      <c r="K322" s="2" t="str">
        <f>_xlfn.XLOOKUP(demandas[[#This Row],[SquadID]],squads!A:A,squads!B:B,)</f>
        <v>Squad Integrações</v>
      </c>
      <c r="L322" s="2" t="str">
        <f>VLOOKUP(demandas[[#This Row],[StatusID]],status!A:B,2,)</f>
        <v>Aberto</v>
      </c>
    </row>
    <row r="323" spans="1:12" x14ac:dyDescent="0.25">
      <c r="A323">
        <v>322</v>
      </c>
      <c r="B323" s="1" t="s">
        <v>331</v>
      </c>
      <c r="C323">
        <v>5</v>
      </c>
      <c r="D323">
        <v>3</v>
      </c>
      <c r="E323">
        <v>3</v>
      </c>
      <c r="F323">
        <v>1</v>
      </c>
      <c r="G323">
        <v>13</v>
      </c>
      <c r="H323" s="2">
        <v>45410</v>
      </c>
      <c r="I323" s="2">
        <v>45431</v>
      </c>
      <c r="J323" s="2">
        <v>45411</v>
      </c>
      <c r="K323" s="2" t="str">
        <f>_xlfn.XLOOKUP(demandas[[#This Row],[SquadID]],squads!A:A,squads!B:B,)</f>
        <v>Squad Dados</v>
      </c>
      <c r="L323" s="2" t="str">
        <f>VLOOKUP(demandas[[#This Row],[StatusID]],status!A:B,2,)</f>
        <v>Concluído</v>
      </c>
    </row>
    <row r="324" spans="1:12" x14ac:dyDescent="0.25">
      <c r="A324">
        <v>323</v>
      </c>
      <c r="B324" s="1" t="s">
        <v>332</v>
      </c>
      <c r="C324">
        <v>1</v>
      </c>
      <c r="D324">
        <v>3</v>
      </c>
      <c r="E324">
        <v>3</v>
      </c>
      <c r="F324">
        <v>5</v>
      </c>
      <c r="G324">
        <v>1</v>
      </c>
      <c r="H324" s="2">
        <v>45328</v>
      </c>
      <c r="I324" s="2">
        <v>45352</v>
      </c>
      <c r="J324" s="2">
        <v>45352</v>
      </c>
      <c r="K324" s="2" t="str">
        <f>_xlfn.XLOOKUP(demandas[[#This Row],[SquadID]],squads!A:A,squads!B:B,)</f>
        <v>Squad Pagamentos</v>
      </c>
      <c r="L324" s="2" t="str">
        <f>VLOOKUP(demandas[[#This Row],[StatusID]],status!A:B,2,)</f>
        <v>Concluído</v>
      </c>
    </row>
    <row r="325" spans="1:12" x14ac:dyDescent="0.25">
      <c r="A325">
        <v>324</v>
      </c>
      <c r="B325" s="1" t="s">
        <v>333</v>
      </c>
      <c r="C325">
        <v>2</v>
      </c>
      <c r="D325">
        <v>3</v>
      </c>
      <c r="E325">
        <v>1</v>
      </c>
      <c r="F325">
        <v>2</v>
      </c>
      <c r="G325">
        <v>6</v>
      </c>
      <c r="H325" s="2">
        <v>45345</v>
      </c>
      <c r="I325" s="2">
        <v>45350</v>
      </c>
      <c r="J325" s="2">
        <v>45346</v>
      </c>
      <c r="K325" s="2" t="str">
        <f>_xlfn.XLOOKUP(demandas[[#This Row],[SquadID]],squads!A:A,squads!B:B,)</f>
        <v>Squad Crédito</v>
      </c>
      <c r="L325" s="2" t="str">
        <f>VLOOKUP(demandas[[#This Row],[StatusID]],status!A:B,2,)</f>
        <v>Concluído</v>
      </c>
    </row>
    <row r="326" spans="1:12" x14ac:dyDescent="0.25">
      <c r="A326">
        <v>325</v>
      </c>
      <c r="B326" s="1" t="s">
        <v>334</v>
      </c>
      <c r="C326">
        <v>1</v>
      </c>
      <c r="D326">
        <v>3</v>
      </c>
      <c r="E326">
        <v>3</v>
      </c>
      <c r="F326">
        <v>1</v>
      </c>
      <c r="G326">
        <v>2</v>
      </c>
      <c r="H326" s="2">
        <v>45627</v>
      </c>
      <c r="I326" s="2">
        <v>45646</v>
      </c>
      <c r="J326" s="2">
        <v>45634</v>
      </c>
      <c r="K326" s="2" t="str">
        <f>_xlfn.XLOOKUP(demandas[[#This Row],[SquadID]],squads!A:A,squads!B:B,)</f>
        <v>Squad Pagamentos</v>
      </c>
      <c r="L326" s="2" t="str">
        <f>VLOOKUP(demandas[[#This Row],[StatusID]],status!A:B,2,)</f>
        <v>Concluído</v>
      </c>
    </row>
    <row r="327" spans="1:12" x14ac:dyDescent="0.25">
      <c r="A327">
        <v>326</v>
      </c>
      <c r="B327" s="1" t="s">
        <v>335</v>
      </c>
      <c r="C327">
        <v>5</v>
      </c>
      <c r="D327">
        <v>5</v>
      </c>
      <c r="E327">
        <v>2</v>
      </c>
      <c r="F327">
        <v>3</v>
      </c>
      <c r="G327">
        <v>14</v>
      </c>
      <c r="H327" s="2">
        <v>45669</v>
      </c>
      <c r="I327" s="2">
        <v>45684</v>
      </c>
      <c r="J327" s="2">
        <v>45696</v>
      </c>
      <c r="K327" s="2" t="str">
        <f>_xlfn.XLOOKUP(demandas[[#This Row],[SquadID]],squads!A:A,squads!B:B,)</f>
        <v>Squad Dados</v>
      </c>
      <c r="L327" s="2" t="str">
        <f>VLOOKUP(demandas[[#This Row],[StatusID]],status!A:B,2,)</f>
        <v>Cancelado</v>
      </c>
    </row>
    <row r="328" spans="1:12" x14ac:dyDescent="0.25">
      <c r="A328">
        <v>327</v>
      </c>
      <c r="B328" s="1" t="s">
        <v>336</v>
      </c>
      <c r="C328">
        <v>6</v>
      </c>
      <c r="D328">
        <v>3</v>
      </c>
      <c r="E328">
        <v>2</v>
      </c>
      <c r="F328">
        <v>1</v>
      </c>
      <c r="G328">
        <v>17</v>
      </c>
      <c r="H328" s="2">
        <v>45316</v>
      </c>
      <c r="I328" s="2">
        <v>45327</v>
      </c>
      <c r="J328" s="2">
        <v>45317</v>
      </c>
      <c r="K328" s="2" t="str">
        <f>_xlfn.XLOOKUP(demandas[[#This Row],[SquadID]],squads!A:A,squads!B:B,)</f>
        <v>Squad Integrações</v>
      </c>
      <c r="L328" s="2" t="str">
        <f>VLOOKUP(demandas[[#This Row],[StatusID]],status!A:B,2,)</f>
        <v>Concluído</v>
      </c>
    </row>
    <row r="329" spans="1:12" x14ac:dyDescent="0.25">
      <c r="A329">
        <v>328</v>
      </c>
      <c r="B329" s="1" t="s">
        <v>337</v>
      </c>
      <c r="C329">
        <v>1</v>
      </c>
      <c r="D329">
        <v>3</v>
      </c>
      <c r="E329">
        <v>3</v>
      </c>
      <c r="F329">
        <v>4</v>
      </c>
      <c r="G329">
        <v>3</v>
      </c>
      <c r="H329" s="2">
        <v>45606</v>
      </c>
      <c r="I329" s="2">
        <v>45625</v>
      </c>
      <c r="J329" s="2">
        <v>45632</v>
      </c>
      <c r="K329" s="2" t="str">
        <f>_xlfn.XLOOKUP(demandas[[#This Row],[SquadID]],squads!A:A,squads!B:B,)</f>
        <v>Squad Pagamentos</v>
      </c>
      <c r="L329" s="2" t="str">
        <f>VLOOKUP(demandas[[#This Row],[StatusID]],status!A:B,2,)</f>
        <v>Concluído</v>
      </c>
    </row>
    <row r="330" spans="1:12" x14ac:dyDescent="0.25">
      <c r="A330">
        <v>329</v>
      </c>
      <c r="B330" s="1" t="s">
        <v>338</v>
      </c>
      <c r="C330">
        <v>8</v>
      </c>
      <c r="D330">
        <v>4</v>
      </c>
      <c r="E330">
        <v>4</v>
      </c>
      <c r="F330">
        <v>1</v>
      </c>
      <c r="G330">
        <v>23</v>
      </c>
      <c r="H330" s="2">
        <v>45387</v>
      </c>
      <c r="I330" s="2">
        <v>45415</v>
      </c>
      <c r="J330" s="2"/>
      <c r="K330" s="2" t="str">
        <f>_xlfn.XLOOKUP(demandas[[#This Row],[SquadID]],squads!A:A,squads!B:B,)</f>
        <v>Squad Infraestrutura</v>
      </c>
      <c r="L330" s="2" t="str">
        <f>VLOOKUP(demandas[[#This Row],[StatusID]],status!A:B,2,)</f>
        <v>Bloqueado</v>
      </c>
    </row>
    <row r="331" spans="1:12" x14ac:dyDescent="0.25">
      <c r="A331">
        <v>330</v>
      </c>
      <c r="B331" s="1" t="s">
        <v>339</v>
      </c>
      <c r="C331">
        <v>5</v>
      </c>
      <c r="D331">
        <v>3</v>
      </c>
      <c r="E331">
        <v>3</v>
      </c>
      <c r="F331">
        <v>2</v>
      </c>
      <c r="G331">
        <v>15</v>
      </c>
      <c r="H331" s="2">
        <v>45378</v>
      </c>
      <c r="I331" s="2">
        <v>45397</v>
      </c>
      <c r="J331" s="2">
        <v>45391</v>
      </c>
      <c r="K331" s="2" t="str">
        <f>_xlfn.XLOOKUP(demandas[[#This Row],[SquadID]],squads!A:A,squads!B:B,)</f>
        <v>Squad Dados</v>
      </c>
      <c r="L331" s="2" t="str">
        <f>VLOOKUP(demandas[[#This Row],[StatusID]],status!A:B,2,)</f>
        <v>Concluído</v>
      </c>
    </row>
    <row r="332" spans="1:12" x14ac:dyDescent="0.25">
      <c r="A332">
        <v>331</v>
      </c>
      <c r="B332" s="1" t="s">
        <v>340</v>
      </c>
      <c r="C332">
        <v>5</v>
      </c>
      <c r="D332">
        <v>3</v>
      </c>
      <c r="E332">
        <v>1</v>
      </c>
      <c r="F332">
        <v>4</v>
      </c>
      <c r="G332">
        <v>13</v>
      </c>
      <c r="H332" s="2">
        <v>45534</v>
      </c>
      <c r="I332" s="2">
        <v>45541</v>
      </c>
      <c r="J332" s="2">
        <v>45541</v>
      </c>
      <c r="K332" s="2" t="str">
        <f>_xlfn.XLOOKUP(demandas[[#This Row],[SquadID]],squads!A:A,squads!B:B,)</f>
        <v>Squad Dados</v>
      </c>
      <c r="L332" s="2" t="str">
        <f>VLOOKUP(demandas[[#This Row],[StatusID]],status!A:B,2,)</f>
        <v>Concluído</v>
      </c>
    </row>
    <row r="333" spans="1:12" x14ac:dyDescent="0.25">
      <c r="A333">
        <v>332</v>
      </c>
      <c r="B333" s="1" t="s">
        <v>341</v>
      </c>
      <c r="C333">
        <v>6</v>
      </c>
      <c r="D333">
        <v>5</v>
      </c>
      <c r="E333">
        <v>3</v>
      </c>
      <c r="F333">
        <v>2</v>
      </c>
      <c r="G333">
        <v>17</v>
      </c>
      <c r="H333" s="2">
        <v>45531</v>
      </c>
      <c r="I333" s="2">
        <v>45550</v>
      </c>
      <c r="J333" s="2">
        <v>45550</v>
      </c>
      <c r="K333" s="2" t="str">
        <f>_xlfn.XLOOKUP(demandas[[#This Row],[SquadID]],squads!A:A,squads!B:B,)</f>
        <v>Squad Integrações</v>
      </c>
      <c r="L333" s="2" t="str">
        <f>VLOOKUP(demandas[[#This Row],[StatusID]],status!A:B,2,)</f>
        <v>Cancelado</v>
      </c>
    </row>
    <row r="334" spans="1:12" x14ac:dyDescent="0.25">
      <c r="A334">
        <v>333</v>
      </c>
      <c r="B334" s="1" t="s">
        <v>342</v>
      </c>
      <c r="C334">
        <v>1</v>
      </c>
      <c r="D334">
        <v>5</v>
      </c>
      <c r="E334">
        <v>2</v>
      </c>
      <c r="F334">
        <v>3</v>
      </c>
      <c r="G334">
        <v>2</v>
      </c>
      <c r="H334" s="2">
        <v>45415</v>
      </c>
      <c r="I334" s="2">
        <v>45428</v>
      </c>
      <c r="J334" s="2">
        <v>45420</v>
      </c>
      <c r="K334" s="2" t="str">
        <f>_xlfn.XLOOKUP(demandas[[#This Row],[SquadID]],squads!A:A,squads!B:B,)</f>
        <v>Squad Pagamentos</v>
      </c>
      <c r="L334" s="2" t="str">
        <f>VLOOKUP(demandas[[#This Row],[StatusID]],status!A:B,2,)</f>
        <v>Cancelado</v>
      </c>
    </row>
    <row r="335" spans="1:12" x14ac:dyDescent="0.25">
      <c r="A335">
        <v>334</v>
      </c>
      <c r="B335" s="1" t="s">
        <v>343</v>
      </c>
      <c r="C335">
        <v>2</v>
      </c>
      <c r="D335">
        <v>3</v>
      </c>
      <c r="E335">
        <v>2</v>
      </c>
      <c r="F335">
        <v>1</v>
      </c>
      <c r="G335">
        <v>6</v>
      </c>
      <c r="H335" s="2">
        <v>45603</v>
      </c>
      <c r="I335" s="2">
        <v>45611</v>
      </c>
      <c r="J335" s="2">
        <v>45614</v>
      </c>
      <c r="K335" s="2" t="str">
        <f>_xlfn.XLOOKUP(demandas[[#This Row],[SquadID]],squads!A:A,squads!B:B,)</f>
        <v>Squad Crédito</v>
      </c>
      <c r="L335" s="2" t="str">
        <f>VLOOKUP(demandas[[#This Row],[StatusID]],status!A:B,2,)</f>
        <v>Concluído</v>
      </c>
    </row>
    <row r="336" spans="1:12" x14ac:dyDescent="0.25">
      <c r="A336">
        <v>335</v>
      </c>
      <c r="B336" s="1" t="s">
        <v>344</v>
      </c>
      <c r="C336">
        <v>6</v>
      </c>
      <c r="D336">
        <v>3</v>
      </c>
      <c r="E336">
        <v>4</v>
      </c>
      <c r="F336">
        <v>2</v>
      </c>
      <c r="G336">
        <v>16</v>
      </c>
      <c r="H336" s="2">
        <v>45598</v>
      </c>
      <c r="I336" s="2">
        <v>45630</v>
      </c>
      <c r="J336" s="2">
        <v>45624</v>
      </c>
      <c r="K336" s="2" t="str">
        <f>_xlfn.XLOOKUP(demandas[[#This Row],[SquadID]],squads!A:A,squads!B:B,)</f>
        <v>Squad Integrações</v>
      </c>
      <c r="L336" s="2" t="str">
        <f>VLOOKUP(demandas[[#This Row],[StatusID]],status!A:B,2,)</f>
        <v>Concluído</v>
      </c>
    </row>
    <row r="337" spans="1:12" x14ac:dyDescent="0.25">
      <c r="A337">
        <v>336</v>
      </c>
      <c r="B337" s="1" t="s">
        <v>345</v>
      </c>
      <c r="C337">
        <v>4</v>
      </c>
      <c r="D337">
        <v>2</v>
      </c>
      <c r="E337">
        <v>3</v>
      </c>
      <c r="F337">
        <v>1</v>
      </c>
      <c r="G337">
        <v>11</v>
      </c>
      <c r="H337" s="2">
        <v>45396</v>
      </c>
      <c r="I337" s="2">
        <v>45416</v>
      </c>
      <c r="J337" s="2"/>
      <c r="K337" s="2" t="str">
        <f>_xlfn.XLOOKUP(demandas[[#This Row],[SquadID]],squads!A:A,squads!B:B,)</f>
        <v>Squad Segurança</v>
      </c>
      <c r="L337" s="2" t="str">
        <f>VLOOKUP(demandas[[#This Row],[StatusID]],status!A:B,2,)</f>
        <v>Em Andamento</v>
      </c>
    </row>
    <row r="338" spans="1:12" x14ac:dyDescent="0.25">
      <c r="A338">
        <v>337</v>
      </c>
      <c r="B338" s="1" t="s">
        <v>346</v>
      </c>
      <c r="C338">
        <v>7</v>
      </c>
      <c r="D338">
        <v>3</v>
      </c>
      <c r="E338">
        <v>4</v>
      </c>
      <c r="F338">
        <v>1</v>
      </c>
      <c r="G338">
        <v>20</v>
      </c>
      <c r="H338" s="2">
        <v>45673</v>
      </c>
      <c r="I338" s="2">
        <v>45702</v>
      </c>
      <c r="J338" s="2">
        <v>45700</v>
      </c>
      <c r="K338" s="2" t="str">
        <f>_xlfn.XLOOKUP(demandas[[#This Row],[SquadID]],squads!A:A,squads!B:B,)</f>
        <v>Squad Experiência</v>
      </c>
      <c r="L338" s="2" t="str">
        <f>VLOOKUP(demandas[[#This Row],[StatusID]],status!A:B,2,)</f>
        <v>Concluído</v>
      </c>
    </row>
    <row r="339" spans="1:12" x14ac:dyDescent="0.25">
      <c r="A339">
        <v>338</v>
      </c>
      <c r="B339" s="1" t="s">
        <v>347</v>
      </c>
      <c r="C339">
        <v>1</v>
      </c>
      <c r="D339">
        <v>4</v>
      </c>
      <c r="E339">
        <v>1</v>
      </c>
      <c r="F339">
        <v>5</v>
      </c>
      <c r="G339">
        <v>2</v>
      </c>
      <c r="H339" s="2">
        <v>45423</v>
      </c>
      <c r="I339" s="2">
        <v>45427</v>
      </c>
      <c r="J339" s="2"/>
      <c r="K339" s="2" t="str">
        <f>_xlfn.XLOOKUP(demandas[[#This Row],[SquadID]],squads!A:A,squads!B:B,)</f>
        <v>Squad Pagamentos</v>
      </c>
      <c r="L339" s="2" t="str">
        <f>VLOOKUP(demandas[[#This Row],[StatusID]],status!A:B,2,)</f>
        <v>Bloqueado</v>
      </c>
    </row>
    <row r="340" spans="1:12" x14ac:dyDescent="0.25">
      <c r="A340">
        <v>339</v>
      </c>
      <c r="B340" s="1" t="s">
        <v>348</v>
      </c>
      <c r="C340">
        <v>6</v>
      </c>
      <c r="D340">
        <v>3</v>
      </c>
      <c r="E340">
        <v>2</v>
      </c>
      <c r="F340">
        <v>5</v>
      </c>
      <c r="G340">
        <v>16</v>
      </c>
      <c r="H340" s="2">
        <v>45464</v>
      </c>
      <c r="I340" s="2">
        <v>45478</v>
      </c>
      <c r="J340" s="2">
        <v>45465</v>
      </c>
      <c r="K340" s="2" t="str">
        <f>_xlfn.XLOOKUP(demandas[[#This Row],[SquadID]],squads!A:A,squads!B:B,)</f>
        <v>Squad Integrações</v>
      </c>
      <c r="L340" s="2" t="str">
        <f>VLOOKUP(demandas[[#This Row],[StatusID]],status!A:B,2,)</f>
        <v>Concluído</v>
      </c>
    </row>
    <row r="341" spans="1:12" x14ac:dyDescent="0.25">
      <c r="A341">
        <v>340</v>
      </c>
      <c r="B341" s="1" t="s">
        <v>349</v>
      </c>
      <c r="C341">
        <v>5</v>
      </c>
      <c r="D341">
        <v>3</v>
      </c>
      <c r="E341">
        <v>2</v>
      </c>
      <c r="F341">
        <v>1</v>
      </c>
      <c r="G341">
        <v>13</v>
      </c>
      <c r="H341" s="2">
        <v>45573</v>
      </c>
      <c r="I341" s="2">
        <v>45585</v>
      </c>
      <c r="J341" s="2">
        <v>45583</v>
      </c>
      <c r="K341" s="2" t="str">
        <f>_xlfn.XLOOKUP(demandas[[#This Row],[SquadID]],squads!A:A,squads!B:B,)</f>
        <v>Squad Dados</v>
      </c>
      <c r="L341" s="2" t="str">
        <f>VLOOKUP(demandas[[#This Row],[StatusID]],status!A:B,2,)</f>
        <v>Concluído</v>
      </c>
    </row>
    <row r="342" spans="1:12" x14ac:dyDescent="0.25">
      <c r="A342">
        <v>341</v>
      </c>
      <c r="B342" s="1" t="s">
        <v>350</v>
      </c>
      <c r="C342">
        <v>5</v>
      </c>
      <c r="D342">
        <v>1</v>
      </c>
      <c r="E342">
        <v>3</v>
      </c>
      <c r="F342">
        <v>3</v>
      </c>
      <c r="G342">
        <v>15</v>
      </c>
      <c r="H342" s="2">
        <v>45782</v>
      </c>
      <c r="I342" s="2">
        <v>45800</v>
      </c>
      <c r="J342" s="2"/>
      <c r="K342" s="2" t="str">
        <f>_xlfn.XLOOKUP(demandas[[#This Row],[SquadID]],squads!A:A,squads!B:B,)</f>
        <v>Squad Dados</v>
      </c>
      <c r="L342" s="2" t="str">
        <f>VLOOKUP(demandas[[#This Row],[StatusID]],status!A:B,2,)</f>
        <v>Aberto</v>
      </c>
    </row>
    <row r="343" spans="1:12" x14ac:dyDescent="0.25">
      <c r="A343">
        <v>342</v>
      </c>
      <c r="B343" s="1" t="s">
        <v>351</v>
      </c>
      <c r="C343">
        <v>1</v>
      </c>
      <c r="D343">
        <v>5</v>
      </c>
      <c r="E343">
        <v>2</v>
      </c>
      <c r="F343">
        <v>5</v>
      </c>
      <c r="G343">
        <v>3</v>
      </c>
      <c r="H343" s="2">
        <v>45547</v>
      </c>
      <c r="I343" s="2">
        <v>45555</v>
      </c>
      <c r="J343" s="2">
        <v>45561</v>
      </c>
      <c r="K343" s="2" t="str">
        <f>_xlfn.XLOOKUP(demandas[[#This Row],[SquadID]],squads!A:A,squads!B:B,)</f>
        <v>Squad Pagamentos</v>
      </c>
      <c r="L343" s="2" t="str">
        <f>VLOOKUP(demandas[[#This Row],[StatusID]],status!A:B,2,)</f>
        <v>Cancelado</v>
      </c>
    </row>
    <row r="344" spans="1:12" x14ac:dyDescent="0.25">
      <c r="A344">
        <v>343</v>
      </c>
      <c r="B344" s="1" t="s">
        <v>352</v>
      </c>
      <c r="C344">
        <v>5</v>
      </c>
      <c r="D344">
        <v>3</v>
      </c>
      <c r="E344">
        <v>3</v>
      </c>
      <c r="F344">
        <v>5</v>
      </c>
      <c r="G344">
        <v>15</v>
      </c>
      <c r="H344" s="2">
        <v>45621</v>
      </c>
      <c r="I344" s="2">
        <v>45645</v>
      </c>
      <c r="J344" s="2">
        <v>45641</v>
      </c>
      <c r="K344" s="2" t="str">
        <f>_xlfn.XLOOKUP(demandas[[#This Row],[SquadID]],squads!A:A,squads!B:B,)</f>
        <v>Squad Dados</v>
      </c>
      <c r="L344" s="2" t="str">
        <f>VLOOKUP(demandas[[#This Row],[StatusID]],status!A:B,2,)</f>
        <v>Concluído</v>
      </c>
    </row>
    <row r="345" spans="1:12" x14ac:dyDescent="0.25">
      <c r="A345">
        <v>344</v>
      </c>
      <c r="B345" s="1" t="s">
        <v>353</v>
      </c>
      <c r="C345">
        <v>1</v>
      </c>
      <c r="D345">
        <v>5</v>
      </c>
      <c r="E345">
        <v>4</v>
      </c>
      <c r="F345">
        <v>1</v>
      </c>
      <c r="G345">
        <v>2</v>
      </c>
      <c r="H345" s="2">
        <v>45658</v>
      </c>
      <c r="I345" s="2">
        <v>45689</v>
      </c>
      <c r="J345" s="2">
        <v>45680</v>
      </c>
      <c r="K345" s="2" t="str">
        <f>_xlfn.XLOOKUP(demandas[[#This Row],[SquadID]],squads!A:A,squads!B:B,)</f>
        <v>Squad Pagamentos</v>
      </c>
      <c r="L345" s="2" t="str">
        <f>VLOOKUP(demandas[[#This Row],[StatusID]],status!A:B,2,)</f>
        <v>Cancelado</v>
      </c>
    </row>
    <row r="346" spans="1:12" x14ac:dyDescent="0.25">
      <c r="A346">
        <v>345</v>
      </c>
      <c r="B346" s="1" t="s">
        <v>354</v>
      </c>
      <c r="C346">
        <v>2</v>
      </c>
      <c r="D346">
        <v>3</v>
      </c>
      <c r="E346">
        <v>4</v>
      </c>
      <c r="F346">
        <v>5</v>
      </c>
      <c r="G346">
        <v>4</v>
      </c>
      <c r="H346" s="2">
        <v>45516</v>
      </c>
      <c r="I346" s="2">
        <v>45550</v>
      </c>
      <c r="J346" s="2">
        <v>45564</v>
      </c>
      <c r="K346" s="2" t="str">
        <f>_xlfn.XLOOKUP(demandas[[#This Row],[SquadID]],squads!A:A,squads!B:B,)</f>
        <v>Squad Crédito</v>
      </c>
      <c r="L346" s="2" t="str">
        <f>VLOOKUP(demandas[[#This Row],[StatusID]],status!A:B,2,)</f>
        <v>Concluído</v>
      </c>
    </row>
    <row r="347" spans="1:12" x14ac:dyDescent="0.25">
      <c r="A347">
        <v>346</v>
      </c>
      <c r="B347" s="1" t="s">
        <v>355</v>
      </c>
      <c r="C347">
        <v>1</v>
      </c>
      <c r="D347">
        <v>3</v>
      </c>
      <c r="E347">
        <v>3</v>
      </c>
      <c r="F347">
        <v>4</v>
      </c>
      <c r="G347">
        <v>3</v>
      </c>
      <c r="H347" s="2">
        <v>45659</v>
      </c>
      <c r="I347" s="2">
        <v>45677</v>
      </c>
      <c r="J347" s="2">
        <v>45664</v>
      </c>
      <c r="K347" s="2" t="str">
        <f>_xlfn.XLOOKUP(demandas[[#This Row],[SquadID]],squads!A:A,squads!B:B,)</f>
        <v>Squad Pagamentos</v>
      </c>
      <c r="L347" s="2" t="str">
        <f>VLOOKUP(demandas[[#This Row],[StatusID]],status!A:B,2,)</f>
        <v>Concluído</v>
      </c>
    </row>
    <row r="348" spans="1:12" x14ac:dyDescent="0.25">
      <c r="A348">
        <v>347</v>
      </c>
      <c r="B348" s="1" t="s">
        <v>356</v>
      </c>
      <c r="C348">
        <v>8</v>
      </c>
      <c r="D348">
        <v>3</v>
      </c>
      <c r="E348">
        <v>4</v>
      </c>
      <c r="F348">
        <v>4</v>
      </c>
      <c r="G348">
        <v>23</v>
      </c>
      <c r="H348" s="2">
        <v>45608</v>
      </c>
      <c r="I348" s="2">
        <v>45638</v>
      </c>
      <c r="J348" s="2">
        <v>45616</v>
      </c>
      <c r="K348" s="2" t="str">
        <f>_xlfn.XLOOKUP(demandas[[#This Row],[SquadID]],squads!A:A,squads!B:B,)</f>
        <v>Squad Infraestrutura</v>
      </c>
      <c r="L348" s="2" t="str">
        <f>VLOOKUP(demandas[[#This Row],[StatusID]],status!A:B,2,)</f>
        <v>Concluído</v>
      </c>
    </row>
    <row r="349" spans="1:12" x14ac:dyDescent="0.25">
      <c r="A349">
        <v>348</v>
      </c>
      <c r="B349" s="1" t="s">
        <v>357</v>
      </c>
      <c r="C349">
        <v>2</v>
      </c>
      <c r="D349">
        <v>3</v>
      </c>
      <c r="E349">
        <v>3</v>
      </c>
      <c r="F349">
        <v>1</v>
      </c>
      <c r="G349">
        <v>6</v>
      </c>
      <c r="H349" s="2">
        <v>45498</v>
      </c>
      <c r="I349" s="2">
        <v>45518</v>
      </c>
      <c r="J349" s="2">
        <v>45509</v>
      </c>
      <c r="K349" s="2" t="str">
        <f>_xlfn.XLOOKUP(demandas[[#This Row],[SquadID]],squads!A:A,squads!B:B,)</f>
        <v>Squad Crédito</v>
      </c>
      <c r="L349" s="2" t="str">
        <f>VLOOKUP(demandas[[#This Row],[StatusID]],status!A:B,2,)</f>
        <v>Concluído</v>
      </c>
    </row>
    <row r="350" spans="1:12" x14ac:dyDescent="0.25">
      <c r="A350">
        <v>349</v>
      </c>
      <c r="B350" s="1" t="s">
        <v>358</v>
      </c>
      <c r="C350">
        <v>1</v>
      </c>
      <c r="D350">
        <v>3</v>
      </c>
      <c r="E350">
        <v>3</v>
      </c>
      <c r="F350">
        <v>5</v>
      </c>
      <c r="G350">
        <v>1</v>
      </c>
      <c r="H350" s="2">
        <v>45665</v>
      </c>
      <c r="I350" s="2">
        <v>45684</v>
      </c>
      <c r="J350" s="2">
        <v>45691</v>
      </c>
      <c r="K350" s="2" t="str">
        <f>_xlfn.XLOOKUP(demandas[[#This Row],[SquadID]],squads!A:A,squads!B:B,)</f>
        <v>Squad Pagamentos</v>
      </c>
      <c r="L350" s="2" t="str">
        <f>VLOOKUP(demandas[[#This Row],[StatusID]],status!A:B,2,)</f>
        <v>Concluído</v>
      </c>
    </row>
    <row r="351" spans="1:12" x14ac:dyDescent="0.25">
      <c r="A351">
        <v>350</v>
      </c>
      <c r="B351" s="1" t="s">
        <v>359</v>
      </c>
      <c r="C351">
        <v>1</v>
      </c>
      <c r="D351">
        <v>3</v>
      </c>
      <c r="E351">
        <v>2</v>
      </c>
      <c r="F351">
        <v>1</v>
      </c>
      <c r="G351">
        <v>1</v>
      </c>
      <c r="H351" s="2">
        <v>45739</v>
      </c>
      <c r="I351" s="2">
        <v>45754</v>
      </c>
      <c r="J351" s="2">
        <v>45748</v>
      </c>
      <c r="K351" s="2" t="str">
        <f>_xlfn.XLOOKUP(demandas[[#This Row],[SquadID]],squads!A:A,squads!B:B,)</f>
        <v>Squad Pagamentos</v>
      </c>
      <c r="L351" s="2" t="str">
        <f>VLOOKUP(demandas[[#This Row],[StatusID]],status!A:B,2,)</f>
        <v>Concluído</v>
      </c>
    </row>
    <row r="352" spans="1:12" x14ac:dyDescent="0.25">
      <c r="A352">
        <v>351</v>
      </c>
      <c r="B352" s="1" t="s">
        <v>360</v>
      </c>
      <c r="C352">
        <v>7</v>
      </c>
      <c r="D352">
        <v>3</v>
      </c>
      <c r="E352">
        <v>3</v>
      </c>
      <c r="F352">
        <v>2</v>
      </c>
      <c r="G352">
        <v>21</v>
      </c>
      <c r="H352" s="2">
        <v>45471</v>
      </c>
      <c r="I352" s="2">
        <v>45495</v>
      </c>
      <c r="J352" s="2">
        <v>45476</v>
      </c>
      <c r="K352" s="2" t="str">
        <f>_xlfn.XLOOKUP(demandas[[#This Row],[SquadID]],squads!A:A,squads!B:B,)</f>
        <v>Squad Experiência</v>
      </c>
      <c r="L352" s="2" t="str">
        <f>VLOOKUP(demandas[[#This Row],[StatusID]],status!A:B,2,)</f>
        <v>Concluído</v>
      </c>
    </row>
    <row r="353" spans="1:12" x14ac:dyDescent="0.25">
      <c r="A353">
        <v>352</v>
      </c>
      <c r="B353" s="1" t="s">
        <v>361</v>
      </c>
      <c r="C353">
        <v>6</v>
      </c>
      <c r="D353">
        <v>3</v>
      </c>
      <c r="E353">
        <v>4</v>
      </c>
      <c r="F353">
        <v>5</v>
      </c>
      <c r="G353">
        <v>17</v>
      </c>
      <c r="H353" s="2">
        <v>45325</v>
      </c>
      <c r="I353" s="2">
        <v>45355</v>
      </c>
      <c r="J353" s="2">
        <v>45365</v>
      </c>
      <c r="K353" s="2" t="str">
        <f>_xlfn.XLOOKUP(demandas[[#This Row],[SquadID]],squads!A:A,squads!B:B,)</f>
        <v>Squad Integrações</v>
      </c>
      <c r="L353" s="2" t="str">
        <f>VLOOKUP(demandas[[#This Row],[StatusID]],status!A:B,2,)</f>
        <v>Concluído</v>
      </c>
    </row>
    <row r="354" spans="1:12" x14ac:dyDescent="0.25">
      <c r="A354">
        <v>353</v>
      </c>
      <c r="B354" s="1" t="s">
        <v>362</v>
      </c>
      <c r="C354">
        <v>5</v>
      </c>
      <c r="D354">
        <v>3</v>
      </c>
      <c r="E354">
        <v>2</v>
      </c>
      <c r="F354">
        <v>3</v>
      </c>
      <c r="G354">
        <v>14</v>
      </c>
      <c r="H354" s="2">
        <v>45371</v>
      </c>
      <c r="I354" s="2">
        <v>45382</v>
      </c>
      <c r="J354" s="2">
        <v>45382</v>
      </c>
      <c r="K354" s="2" t="str">
        <f>_xlfn.XLOOKUP(demandas[[#This Row],[SquadID]],squads!A:A,squads!B:B,)</f>
        <v>Squad Dados</v>
      </c>
      <c r="L354" s="2" t="str">
        <f>VLOOKUP(demandas[[#This Row],[StatusID]],status!A:B,2,)</f>
        <v>Concluído</v>
      </c>
    </row>
    <row r="355" spans="1:12" x14ac:dyDescent="0.25">
      <c r="A355">
        <v>354</v>
      </c>
      <c r="B355" s="1" t="s">
        <v>363</v>
      </c>
      <c r="C355">
        <v>7</v>
      </c>
      <c r="D355">
        <v>2</v>
      </c>
      <c r="E355">
        <v>3</v>
      </c>
      <c r="F355">
        <v>4</v>
      </c>
      <c r="G355">
        <v>20</v>
      </c>
      <c r="H355" s="2">
        <v>45749</v>
      </c>
      <c r="I355" s="2">
        <v>45767</v>
      </c>
      <c r="J355" s="2"/>
      <c r="K355" s="2" t="str">
        <f>_xlfn.XLOOKUP(demandas[[#This Row],[SquadID]],squads!A:A,squads!B:B,)</f>
        <v>Squad Experiência</v>
      </c>
      <c r="L355" s="2" t="str">
        <f>VLOOKUP(demandas[[#This Row],[StatusID]],status!A:B,2,)</f>
        <v>Em Andamento</v>
      </c>
    </row>
    <row r="356" spans="1:12" x14ac:dyDescent="0.25">
      <c r="A356">
        <v>355</v>
      </c>
      <c r="B356" s="1" t="s">
        <v>364</v>
      </c>
      <c r="C356">
        <v>6</v>
      </c>
      <c r="D356">
        <v>3</v>
      </c>
      <c r="E356">
        <v>3</v>
      </c>
      <c r="F356">
        <v>4</v>
      </c>
      <c r="G356">
        <v>18</v>
      </c>
      <c r="H356" s="2">
        <v>45293</v>
      </c>
      <c r="I356" s="2">
        <v>45311</v>
      </c>
      <c r="J356" s="2">
        <v>45314</v>
      </c>
      <c r="K356" s="2" t="str">
        <f>_xlfn.XLOOKUP(demandas[[#This Row],[SquadID]],squads!A:A,squads!B:B,)</f>
        <v>Squad Integrações</v>
      </c>
      <c r="L356" s="2" t="str">
        <f>VLOOKUP(demandas[[#This Row],[StatusID]],status!A:B,2,)</f>
        <v>Concluído</v>
      </c>
    </row>
    <row r="357" spans="1:12" x14ac:dyDescent="0.25">
      <c r="A357">
        <v>356</v>
      </c>
      <c r="B357" s="1" t="s">
        <v>365</v>
      </c>
      <c r="C357">
        <v>4</v>
      </c>
      <c r="D357">
        <v>2</v>
      </c>
      <c r="E357">
        <v>3</v>
      </c>
      <c r="F357">
        <v>3</v>
      </c>
      <c r="G357">
        <v>10</v>
      </c>
      <c r="H357" s="2">
        <v>45782</v>
      </c>
      <c r="I357" s="2">
        <v>45803</v>
      </c>
      <c r="J357" s="2"/>
      <c r="K357" s="2" t="str">
        <f>_xlfn.XLOOKUP(demandas[[#This Row],[SquadID]],squads!A:A,squads!B:B,)</f>
        <v>Squad Segurança</v>
      </c>
      <c r="L357" s="2" t="str">
        <f>VLOOKUP(demandas[[#This Row],[StatusID]],status!A:B,2,)</f>
        <v>Em Andamento</v>
      </c>
    </row>
    <row r="358" spans="1:12" x14ac:dyDescent="0.25">
      <c r="A358">
        <v>357</v>
      </c>
      <c r="B358" s="1" t="s">
        <v>366</v>
      </c>
      <c r="C358">
        <v>6</v>
      </c>
      <c r="D358">
        <v>3</v>
      </c>
      <c r="E358">
        <v>1</v>
      </c>
      <c r="F358">
        <v>1</v>
      </c>
      <c r="G358">
        <v>17</v>
      </c>
      <c r="H358" s="2">
        <v>45399</v>
      </c>
      <c r="I358" s="2">
        <v>45403</v>
      </c>
      <c r="J358" s="2">
        <v>45406</v>
      </c>
      <c r="K358" s="2" t="str">
        <f>_xlfn.XLOOKUP(demandas[[#This Row],[SquadID]],squads!A:A,squads!B:B,)</f>
        <v>Squad Integrações</v>
      </c>
      <c r="L358" s="2" t="str">
        <f>VLOOKUP(demandas[[#This Row],[StatusID]],status!A:B,2,)</f>
        <v>Concluído</v>
      </c>
    </row>
    <row r="359" spans="1:12" x14ac:dyDescent="0.25">
      <c r="A359">
        <v>358</v>
      </c>
      <c r="B359" s="1" t="s">
        <v>367</v>
      </c>
      <c r="C359">
        <v>1</v>
      </c>
      <c r="D359">
        <v>3</v>
      </c>
      <c r="E359">
        <v>4</v>
      </c>
      <c r="F359">
        <v>6</v>
      </c>
      <c r="G359">
        <v>2</v>
      </c>
      <c r="H359" s="2">
        <v>45786</v>
      </c>
      <c r="I359" s="2">
        <v>45814</v>
      </c>
      <c r="J359" s="2">
        <v>45806</v>
      </c>
      <c r="K359" s="2" t="str">
        <f>_xlfn.XLOOKUP(demandas[[#This Row],[SquadID]],squads!A:A,squads!B:B,)</f>
        <v>Squad Pagamentos</v>
      </c>
      <c r="L359" s="2" t="str">
        <f>VLOOKUP(demandas[[#This Row],[StatusID]],status!A:B,2,)</f>
        <v>Concluído</v>
      </c>
    </row>
    <row r="360" spans="1:12" x14ac:dyDescent="0.25">
      <c r="A360">
        <v>359</v>
      </c>
      <c r="B360" s="1" t="s">
        <v>368</v>
      </c>
      <c r="C360">
        <v>1</v>
      </c>
      <c r="D360">
        <v>3</v>
      </c>
      <c r="E360">
        <v>2</v>
      </c>
      <c r="F360">
        <v>1</v>
      </c>
      <c r="G360">
        <v>1</v>
      </c>
      <c r="H360" s="2">
        <v>45711</v>
      </c>
      <c r="I360" s="2">
        <v>45723</v>
      </c>
      <c r="J360" s="2">
        <v>45713</v>
      </c>
      <c r="K360" s="2" t="str">
        <f>_xlfn.XLOOKUP(demandas[[#This Row],[SquadID]],squads!A:A,squads!B:B,)</f>
        <v>Squad Pagamentos</v>
      </c>
      <c r="L360" s="2" t="str">
        <f>VLOOKUP(demandas[[#This Row],[StatusID]],status!A:B,2,)</f>
        <v>Concluído</v>
      </c>
    </row>
    <row r="361" spans="1:12" x14ac:dyDescent="0.25">
      <c r="A361">
        <v>360</v>
      </c>
      <c r="B361" s="1" t="s">
        <v>369</v>
      </c>
      <c r="C361">
        <v>3</v>
      </c>
      <c r="D361">
        <v>3</v>
      </c>
      <c r="E361">
        <v>3</v>
      </c>
      <c r="F361">
        <v>3</v>
      </c>
      <c r="G361">
        <v>7</v>
      </c>
      <c r="H361" s="2">
        <v>45661</v>
      </c>
      <c r="I361" s="2">
        <v>45679</v>
      </c>
      <c r="J361" s="2">
        <v>45677</v>
      </c>
      <c r="K361" s="2" t="str">
        <f>_xlfn.XLOOKUP(demandas[[#This Row],[SquadID]],squads!A:A,squads!B:B,)</f>
        <v>Squad Onboarding</v>
      </c>
      <c r="L361" s="2" t="str">
        <f>VLOOKUP(demandas[[#This Row],[StatusID]],status!A:B,2,)</f>
        <v>Concluído</v>
      </c>
    </row>
    <row r="362" spans="1:12" x14ac:dyDescent="0.25">
      <c r="A362">
        <v>361</v>
      </c>
      <c r="B362" s="1" t="s">
        <v>370</v>
      </c>
      <c r="C362">
        <v>1</v>
      </c>
      <c r="D362">
        <v>2</v>
      </c>
      <c r="E362">
        <v>2</v>
      </c>
      <c r="F362">
        <v>3</v>
      </c>
      <c r="G362">
        <v>1</v>
      </c>
      <c r="H362" s="2">
        <v>45776</v>
      </c>
      <c r="I362" s="2">
        <v>45785</v>
      </c>
      <c r="J362" s="2"/>
      <c r="K362" s="2" t="str">
        <f>_xlfn.XLOOKUP(demandas[[#This Row],[SquadID]],squads!A:A,squads!B:B,)</f>
        <v>Squad Pagamentos</v>
      </c>
      <c r="L362" s="2" t="str">
        <f>VLOOKUP(demandas[[#This Row],[StatusID]],status!A:B,2,)</f>
        <v>Em Andamento</v>
      </c>
    </row>
    <row r="363" spans="1:12" x14ac:dyDescent="0.25">
      <c r="A363">
        <v>362</v>
      </c>
      <c r="B363" s="1" t="s">
        <v>371</v>
      </c>
      <c r="C363">
        <v>4</v>
      </c>
      <c r="D363">
        <v>3</v>
      </c>
      <c r="E363">
        <v>4</v>
      </c>
      <c r="F363">
        <v>1</v>
      </c>
      <c r="G363">
        <v>12</v>
      </c>
      <c r="H363" s="2">
        <v>45688</v>
      </c>
      <c r="I363" s="2">
        <v>45718</v>
      </c>
      <c r="J363" s="2">
        <v>45694</v>
      </c>
      <c r="K363" s="2" t="str">
        <f>_xlfn.XLOOKUP(demandas[[#This Row],[SquadID]],squads!A:A,squads!B:B,)</f>
        <v>Squad Segurança</v>
      </c>
      <c r="L363" s="2" t="str">
        <f>VLOOKUP(demandas[[#This Row],[StatusID]],status!A:B,2,)</f>
        <v>Concluído</v>
      </c>
    </row>
    <row r="364" spans="1:12" x14ac:dyDescent="0.25">
      <c r="A364">
        <v>363</v>
      </c>
      <c r="B364" s="1" t="s">
        <v>372</v>
      </c>
      <c r="C364">
        <v>1</v>
      </c>
      <c r="D364">
        <v>3</v>
      </c>
      <c r="E364">
        <v>3</v>
      </c>
      <c r="F364">
        <v>1</v>
      </c>
      <c r="G364">
        <v>2</v>
      </c>
      <c r="H364" s="2">
        <v>45355</v>
      </c>
      <c r="I364" s="2">
        <v>45375</v>
      </c>
      <c r="J364" s="2">
        <v>45358</v>
      </c>
      <c r="K364" s="2" t="str">
        <f>_xlfn.XLOOKUP(demandas[[#This Row],[SquadID]],squads!A:A,squads!B:B,)</f>
        <v>Squad Pagamentos</v>
      </c>
      <c r="L364" s="2" t="str">
        <f>VLOOKUP(demandas[[#This Row],[StatusID]],status!A:B,2,)</f>
        <v>Concluído</v>
      </c>
    </row>
    <row r="365" spans="1:12" x14ac:dyDescent="0.25">
      <c r="A365">
        <v>364</v>
      </c>
      <c r="B365" s="1" t="s">
        <v>373</v>
      </c>
      <c r="C365">
        <v>3</v>
      </c>
      <c r="D365">
        <v>3</v>
      </c>
      <c r="E365">
        <v>3</v>
      </c>
      <c r="F365">
        <v>6</v>
      </c>
      <c r="G365">
        <v>9</v>
      </c>
      <c r="H365" s="2">
        <v>45524</v>
      </c>
      <c r="I365" s="2">
        <v>45542</v>
      </c>
      <c r="J365" s="2">
        <v>45549</v>
      </c>
      <c r="K365" s="2" t="str">
        <f>_xlfn.XLOOKUP(demandas[[#This Row],[SquadID]],squads!A:A,squads!B:B,)</f>
        <v>Squad Onboarding</v>
      </c>
      <c r="L365" s="2" t="str">
        <f>VLOOKUP(demandas[[#This Row],[StatusID]],status!A:B,2,)</f>
        <v>Concluído</v>
      </c>
    </row>
    <row r="366" spans="1:12" x14ac:dyDescent="0.25">
      <c r="A366">
        <v>365</v>
      </c>
      <c r="B366" s="1" t="s">
        <v>374</v>
      </c>
      <c r="C366">
        <v>5</v>
      </c>
      <c r="D366">
        <v>1</v>
      </c>
      <c r="E366">
        <v>4</v>
      </c>
      <c r="F366">
        <v>3</v>
      </c>
      <c r="G366">
        <v>13</v>
      </c>
      <c r="H366" s="2">
        <v>45779</v>
      </c>
      <c r="I366" s="2">
        <v>45811</v>
      </c>
      <c r="J366" s="2"/>
      <c r="K366" s="2" t="str">
        <f>_xlfn.XLOOKUP(demandas[[#This Row],[SquadID]],squads!A:A,squads!B:B,)</f>
        <v>Squad Dados</v>
      </c>
      <c r="L366" s="2" t="str">
        <f>VLOOKUP(demandas[[#This Row],[StatusID]],status!A:B,2,)</f>
        <v>Aberto</v>
      </c>
    </row>
    <row r="367" spans="1:12" x14ac:dyDescent="0.25">
      <c r="A367">
        <v>366</v>
      </c>
      <c r="B367" s="1" t="s">
        <v>375</v>
      </c>
      <c r="C367">
        <v>6</v>
      </c>
      <c r="D367">
        <v>5</v>
      </c>
      <c r="E367">
        <v>3</v>
      </c>
      <c r="F367">
        <v>5</v>
      </c>
      <c r="G367">
        <v>18</v>
      </c>
      <c r="H367" s="2">
        <v>45442</v>
      </c>
      <c r="I367" s="2">
        <v>45461</v>
      </c>
      <c r="J367" s="2">
        <v>45448</v>
      </c>
      <c r="K367" s="2" t="str">
        <f>_xlfn.XLOOKUP(demandas[[#This Row],[SquadID]],squads!A:A,squads!B:B,)</f>
        <v>Squad Integrações</v>
      </c>
      <c r="L367" s="2" t="str">
        <f>VLOOKUP(demandas[[#This Row],[StatusID]],status!A:B,2,)</f>
        <v>Cancelado</v>
      </c>
    </row>
    <row r="368" spans="1:12" x14ac:dyDescent="0.25">
      <c r="A368">
        <v>367</v>
      </c>
      <c r="B368" s="1" t="s">
        <v>376</v>
      </c>
      <c r="C368">
        <v>6</v>
      </c>
      <c r="D368">
        <v>5</v>
      </c>
      <c r="E368">
        <v>2</v>
      </c>
      <c r="F368">
        <v>2</v>
      </c>
      <c r="G368">
        <v>18</v>
      </c>
      <c r="H368" s="2">
        <v>45737</v>
      </c>
      <c r="I368" s="2">
        <v>45748</v>
      </c>
      <c r="J368" s="2">
        <v>45747</v>
      </c>
      <c r="K368" s="2" t="str">
        <f>_xlfn.XLOOKUP(demandas[[#This Row],[SquadID]],squads!A:A,squads!B:B,)</f>
        <v>Squad Integrações</v>
      </c>
      <c r="L368" s="2" t="str">
        <f>VLOOKUP(demandas[[#This Row],[StatusID]],status!A:B,2,)</f>
        <v>Cancelado</v>
      </c>
    </row>
    <row r="369" spans="1:12" x14ac:dyDescent="0.25">
      <c r="A369">
        <v>368</v>
      </c>
      <c r="B369" s="1" t="s">
        <v>377</v>
      </c>
      <c r="C369">
        <v>3</v>
      </c>
      <c r="D369">
        <v>3</v>
      </c>
      <c r="E369">
        <v>3</v>
      </c>
      <c r="F369">
        <v>4</v>
      </c>
      <c r="G369">
        <v>7</v>
      </c>
      <c r="H369" s="2">
        <v>45689</v>
      </c>
      <c r="I369" s="2">
        <v>45713</v>
      </c>
      <c r="J369" s="2">
        <v>45722</v>
      </c>
      <c r="K369" s="2" t="str">
        <f>_xlfn.XLOOKUP(demandas[[#This Row],[SquadID]],squads!A:A,squads!B:B,)</f>
        <v>Squad Onboarding</v>
      </c>
      <c r="L369" s="2" t="str">
        <f>VLOOKUP(demandas[[#This Row],[StatusID]],status!A:B,2,)</f>
        <v>Concluído</v>
      </c>
    </row>
    <row r="370" spans="1:12" x14ac:dyDescent="0.25">
      <c r="A370">
        <v>369</v>
      </c>
      <c r="B370" s="1" t="s">
        <v>378</v>
      </c>
      <c r="C370">
        <v>7</v>
      </c>
      <c r="D370">
        <v>3</v>
      </c>
      <c r="E370">
        <v>1</v>
      </c>
      <c r="F370">
        <v>4</v>
      </c>
      <c r="G370">
        <v>21</v>
      </c>
      <c r="H370" s="2">
        <v>45721</v>
      </c>
      <c r="I370" s="2">
        <v>45725</v>
      </c>
      <c r="J370" s="2">
        <v>45722</v>
      </c>
      <c r="K370" s="2" t="str">
        <f>_xlfn.XLOOKUP(demandas[[#This Row],[SquadID]],squads!A:A,squads!B:B,)</f>
        <v>Squad Experiência</v>
      </c>
      <c r="L370" s="2" t="str">
        <f>VLOOKUP(demandas[[#This Row],[StatusID]],status!A:B,2,)</f>
        <v>Concluído</v>
      </c>
    </row>
    <row r="371" spans="1:12" x14ac:dyDescent="0.25">
      <c r="A371">
        <v>370</v>
      </c>
      <c r="B371" s="1" t="s">
        <v>379</v>
      </c>
      <c r="C371">
        <v>5</v>
      </c>
      <c r="D371">
        <v>3</v>
      </c>
      <c r="E371">
        <v>2</v>
      </c>
      <c r="F371">
        <v>1</v>
      </c>
      <c r="G371">
        <v>15</v>
      </c>
      <c r="H371" s="2">
        <v>45644</v>
      </c>
      <c r="I371" s="2">
        <v>45658</v>
      </c>
      <c r="J371" s="2">
        <v>45654</v>
      </c>
      <c r="K371" s="2" t="str">
        <f>_xlfn.XLOOKUP(demandas[[#This Row],[SquadID]],squads!A:A,squads!B:B,)</f>
        <v>Squad Dados</v>
      </c>
      <c r="L371" s="2" t="str">
        <f>VLOOKUP(demandas[[#This Row],[StatusID]],status!A:B,2,)</f>
        <v>Concluído</v>
      </c>
    </row>
    <row r="372" spans="1:12" x14ac:dyDescent="0.25">
      <c r="A372">
        <v>371</v>
      </c>
      <c r="B372" s="1" t="s">
        <v>380</v>
      </c>
      <c r="C372">
        <v>4</v>
      </c>
      <c r="D372">
        <v>3</v>
      </c>
      <c r="E372">
        <v>2</v>
      </c>
      <c r="F372">
        <v>2</v>
      </c>
      <c r="G372">
        <v>12</v>
      </c>
      <c r="H372" s="2">
        <v>45703</v>
      </c>
      <c r="I372" s="2">
        <v>45711</v>
      </c>
      <c r="J372" s="2">
        <v>45723</v>
      </c>
      <c r="K372" s="2" t="str">
        <f>_xlfn.XLOOKUP(demandas[[#This Row],[SquadID]],squads!A:A,squads!B:B,)</f>
        <v>Squad Segurança</v>
      </c>
      <c r="L372" s="2" t="str">
        <f>VLOOKUP(demandas[[#This Row],[StatusID]],status!A:B,2,)</f>
        <v>Concluído</v>
      </c>
    </row>
    <row r="373" spans="1:12" x14ac:dyDescent="0.25">
      <c r="A373">
        <v>372</v>
      </c>
      <c r="B373" s="1" t="s">
        <v>381</v>
      </c>
      <c r="C373">
        <v>1</v>
      </c>
      <c r="D373">
        <v>3</v>
      </c>
      <c r="E373">
        <v>3</v>
      </c>
      <c r="F373">
        <v>1</v>
      </c>
      <c r="G373">
        <v>2</v>
      </c>
      <c r="H373" s="2">
        <v>45312</v>
      </c>
      <c r="I373" s="2">
        <v>45335</v>
      </c>
      <c r="J373" s="2">
        <v>45321</v>
      </c>
      <c r="K373" s="2" t="str">
        <f>_xlfn.XLOOKUP(demandas[[#This Row],[SquadID]],squads!A:A,squads!B:B,)</f>
        <v>Squad Pagamentos</v>
      </c>
      <c r="L373" s="2" t="str">
        <f>VLOOKUP(demandas[[#This Row],[StatusID]],status!A:B,2,)</f>
        <v>Concluído</v>
      </c>
    </row>
    <row r="374" spans="1:12" x14ac:dyDescent="0.25">
      <c r="A374">
        <v>373</v>
      </c>
      <c r="B374" s="1" t="s">
        <v>382</v>
      </c>
      <c r="C374">
        <v>4</v>
      </c>
      <c r="D374">
        <v>5</v>
      </c>
      <c r="E374">
        <v>3</v>
      </c>
      <c r="F374">
        <v>1</v>
      </c>
      <c r="G374">
        <v>10</v>
      </c>
      <c r="H374" s="2">
        <v>45429</v>
      </c>
      <c r="I374" s="2">
        <v>45451</v>
      </c>
      <c r="J374" s="2">
        <v>45440</v>
      </c>
      <c r="K374" s="2" t="str">
        <f>_xlfn.XLOOKUP(demandas[[#This Row],[SquadID]],squads!A:A,squads!B:B,)</f>
        <v>Squad Segurança</v>
      </c>
      <c r="L374" s="2" t="str">
        <f>VLOOKUP(demandas[[#This Row],[StatusID]],status!A:B,2,)</f>
        <v>Cancelado</v>
      </c>
    </row>
    <row r="375" spans="1:12" x14ac:dyDescent="0.25">
      <c r="A375">
        <v>374</v>
      </c>
      <c r="B375" s="1" t="s">
        <v>383</v>
      </c>
      <c r="C375">
        <v>6</v>
      </c>
      <c r="D375">
        <v>3</v>
      </c>
      <c r="E375">
        <v>3</v>
      </c>
      <c r="F375">
        <v>1</v>
      </c>
      <c r="G375">
        <v>17</v>
      </c>
      <c r="H375" s="2">
        <v>45508</v>
      </c>
      <c r="I375" s="2">
        <v>45532</v>
      </c>
      <c r="J375" s="2">
        <v>45546</v>
      </c>
      <c r="K375" s="2" t="str">
        <f>_xlfn.XLOOKUP(demandas[[#This Row],[SquadID]],squads!A:A,squads!B:B,)</f>
        <v>Squad Integrações</v>
      </c>
      <c r="L375" s="2" t="str">
        <f>VLOOKUP(demandas[[#This Row],[StatusID]],status!A:B,2,)</f>
        <v>Concluído</v>
      </c>
    </row>
    <row r="376" spans="1:12" x14ac:dyDescent="0.25">
      <c r="A376">
        <v>375</v>
      </c>
      <c r="B376" s="1" t="s">
        <v>384</v>
      </c>
      <c r="C376">
        <v>7</v>
      </c>
      <c r="D376">
        <v>1</v>
      </c>
      <c r="E376">
        <v>3</v>
      </c>
      <c r="F376">
        <v>1</v>
      </c>
      <c r="G376">
        <v>20</v>
      </c>
      <c r="H376" s="2">
        <v>45810</v>
      </c>
      <c r="I376" s="2">
        <v>45834</v>
      </c>
      <c r="J376" s="2"/>
      <c r="K376" s="2" t="str">
        <f>_xlfn.XLOOKUP(demandas[[#This Row],[SquadID]],squads!A:A,squads!B:B,)</f>
        <v>Squad Experiência</v>
      </c>
      <c r="L376" s="2" t="str">
        <f>VLOOKUP(demandas[[#This Row],[StatusID]],status!A:B,2,)</f>
        <v>Aberto</v>
      </c>
    </row>
    <row r="377" spans="1:12" x14ac:dyDescent="0.25">
      <c r="A377">
        <v>376</v>
      </c>
      <c r="B377" s="1" t="s">
        <v>385</v>
      </c>
      <c r="C377">
        <v>5</v>
      </c>
      <c r="D377">
        <v>1</v>
      </c>
      <c r="E377">
        <v>3</v>
      </c>
      <c r="F377">
        <v>1</v>
      </c>
      <c r="G377">
        <v>13</v>
      </c>
      <c r="H377" s="2">
        <v>45351</v>
      </c>
      <c r="I377" s="2">
        <v>45372</v>
      </c>
      <c r="J377" s="2"/>
      <c r="K377" s="2" t="str">
        <f>_xlfn.XLOOKUP(demandas[[#This Row],[SquadID]],squads!A:A,squads!B:B,)</f>
        <v>Squad Dados</v>
      </c>
      <c r="L377" s="2" t="str">
        <f>VLOOKUP(demandas[[#This Row],[StatusID]],status!A:B,2,)</f>
        <v>Aberto</v>
      </c>
    </row>
    <row r="378" spans="1:12" x14ac:dyDescent="0.25">
      <c r="A378">
        <v>377</v>
      </c>
      <c r="B378" s="1" t="s">
        <v>386</v>
      </c>
      <c r="C378">
        <v>7</v>
      </c>
      <c r="D378">
        <v>2</v>
      </c>
      <c r="E378">
        <v>3</v>
      </c>
      <c r="F378">
        <v>1</v>
      </c>
      <c r="G378">
        <v>20</v>
      </c>
      <c r="H378" s="2">
        <v>45809</v>
      </c>
      <c r="I378" s="2">
        <v>45833</v>
      </c>
      <c r="J378" s="2"/>
      <c r="K378" s="2" t="str">
        <f>_xlfn.XLOOKUP(demandas[[#This Row],[SquadID]],squads!A:A,squads!B:B,)</f>
        <v>Squad Experiência</v>
      </c>
      <c r="L378" s="2" t="str">
        <f>VLOOKUP(demandas[[#This Row],[StatusID]],status!A:B,2,)</f>
        <v>Em Andamento</v>
      </c>
    </row>
    <row r="379" spans="1:12" x14ac:dyDescent="0.25">
      <c r="A379">
        <v>378</v>
      </c>
      <c r="B379" s="1" t="s">
        <v>387</v>
      </c>
      <c r="C379">
        <v>5</v>
      </c>
      <c r="D379">
        <v>3</v>
      </c>
      <c r="E379">
        <v>2</v>
      </c>
      <c r="F379">
        <v>3</v>
      </c>
      <c r="G379">
        <v>14</v>
      </c>
      <c r="H379" s="2">
        <v>45473</v>
      </c>
      <c r="I379" s="2">
        <v>45488</v>
      </c>
      <c r="J379" s="2">
        <v>45476</v>
      </c>
      <c r="K379" s="2" t="str">
        <f>_xlfn.XLOOKUP(demandas[[#This Row],[SquadID]],squads!A:A,squads!B:B,)</f>
        <v>Squad Dados</v>
      </c>
      <c r="L379" s="2" t="str">
        <f>VLOOKUP(demandas[[#This Row],[StatusID]],status!A:B,2,)</f>
        <v>Concluído</v>
      </c>
    </row>
    <row r="380" spans="1:12" x14ac:dyDescent="0.25">
      <c r="A380">
        <v>379</v>
      </c>
      <c r="B380" s="1" t="s">
        <v>388</v>
      </c>
      <c r="C380">
        <v>7</v>
      </c>
      <c r="D380">
        <v>1</v>
      </c>
      <c r="E380">
        <v>3</v>
      </c>
      <c r="F380">
        <v>4</v>
      </c>
      <c r="G380">
        <v>20</v>
      </c>
      <c r="H380" s="2">
        <v>45320</v>
      </c>
      <c r="I380" s="2">
        <v>45344</v>
      </c>
      <c r="J380" s="2"/>
      <c r="K380" s="2" t="str">
        <f>_xlfn.XLOOKUP(demandas[[#This Row],[SquadID]],squads!A:A,squads!B:B,)</f>
        <v>Squad Experiência</v>
      </c>
      <c r="L380" s="2" t="str">
        <f>VLOOKUP(demandas[[#This Row],[StatusID]],status!A:B,2,)</f>
        <v>Aberto</v>
      </c>
    </row>
    <row r="381" spans="1:12" x14ac:dyDescent="0.25">
      <c r="A381">
        <v>380</v>
      </c>
      <c r="B381" s="1" t="s">
        <v>389</v>
      </c>
      <c r="C381">
        <v>5</v>
      </c>
      <c r="D381">
        <v>3</v>
      </c>
      <c r="E381">
        <v>4</v>
      </c>
      <c r="F381">
        <v>5</v>
      </c>
      <c r="G381">
        <v>15</v>
      </c>
      <c r="H381" s="2">
        <v>45522</v>
      </c>
      <c r="I381" s="2">
        <v>45553</v>
      </c>
      <c r="J381" s="2">
        <v>45523</v>
      </c>
      <c r="K381" s="2" t="str">
        <f>_xlfn.XLOOKUP(demandas[[#This Row],[SquadID]],squads!A:A,squads!B:B,)</f>
        <v>Squad Dados</v>
      </c>
      <c r="L381" s="2" t="str">
        <f>VLOOKUP(demandas[[#This Row],[StatusID]],status!A:B,2,)</f>
        <v>Concluído</v>
      </c>
    </row>
    <row r="382" spans="1:12" x14ac:dyDescent="0.25">
      <c r="A382">
        <v>381</v>
      </c>
      <c r="B382" s="1" t="s">
        <v>390</v>
      </c>
      <c r="C382">
        <v>6</v>
      </c>
      <c r="D382">
        <v>3</v>
      </c>
      <c r="E382">
        <v>3</v>
      </c>
      <c r="F382">
        <v>1</v>
      </c>
      <c r="G382">
        <v>16</v>
      </c>
      <c r="H382" s="2">
        <v>45469</v>
      </c>
      <c r="I382" s="2">
        <v>45487</v>
      </c>
      <c r="J382" s="2">
        <v>45479</v>
      </c>
      <c r="K382" s="2" t="str">
        <f>_xlfn.XLOOKUP(demandas[[#This Row],[SquadID]],squads!A:A,squads!B:B,)</f>
        <v>Squad Integrações</v>
      </c>
      <c r="L382" s="2" t="str">
        <f>VLOOKUP(demandas[[#This Row],[StatusID]],status!A:B,2,)</f>
        <v>Concluído</v>
      </c>
    </row>
    <row r="383" spans="1:12" x14ac:dyDescent="0.25">
      <c r="A383">
        <v>382</v>
      </c>
      <c r="B383" s="1" t="s">
        <v>391</v>
      </c>
      <c r="C383">
        <v>8</v>
      </c>
      <c r="D383">
        <v>3</v>
      </c>
      <c r="E383">
        <v>3</v>
      </c>
      <c r="F383">
        <v>2</v>
      </c>
      <c r="G383">
        <v>23</v>
      </c>
      <c r="H383" s="2">
        <v>45649</v>
      </c>
      <c r="I383" s="2">
        <v>45674</v>
      </c>
      <c r="J383" s="2">
        <v>45671</v>
      </c>
      <c r="K383" s="2" t="str">
        <f>_xlfn.XLOOKUP(demandas[[#This Row],[SquadID]],squads!A:A,squads!B:B,)</f>
        <v>Squad Infraestrutura</v>
      </c>
      <c r="L383" s="2" t="str">
        <f>VLOOKUP(demandas[[#This Row],[StatusID]],status!A:B,2,)</f>
        <v>Concluído</v>
      </c>
    </row>
    <row r="384" spans="1:12" x14ac:dyDescent="0.25">
      <c r="A384">
        <v>383</v>
      </c>
      <c r="B384" s="1" t="s">
        <v>392</v>
      </c>
      <c r="C384">
        <v>7</v>
      </c>
      <c r="D384">
        <v>3</v>
      </c>
      <c r="E384">
        <v>3</v>
      </c>
      <c r="F384">
        <v>1</v>
      </c>
      <c r="G384">
        <v>21</v>
      </c>
      <c r="H384" s="2">
        <v>45675</v>
      </c>
      <c r="I384" s="2">
        <v>45697</v>
      </c>
      <c r="J384" s="2">
        <v>45678</v>
      </c>
      <c r="K384" s="2" t="str">
        <f>_xlfn.XLOOKUP(demandas[[#This Row],[SquadID]],squads!A:A,squads!B:B,)</f>
        <v>Squad Experiência</v>
      </c>
      <c r="L384" s="2" t="str">
        <f>VLOOKUP(demandas[[#This Row],[StatusID]],status!A:B,2,)</f>
        <v>Concluído</v>
      </c>
    </row>
    <row r="385" spans="1:12" x14ac:dyDescent="0.25">
      <c r="A385">
        <v>384</v>
      </c>
      <c r="B385" s="1" t="s">
        <v>393</v>
      </c>
      <c r="C385">
        <v>8</v>
      </c>
      <c r="D385">
        <v>2</v>
      </c>
      <c r="E385">
        <v>3</v>
      </c>
      <c r="F385">
        <v>5</v>
      </c>
      <c r="G385">
        <v>23</v>
      </c>
      <c r="H385" s="2">
        <v>45597</v>
      </c>
      <c r="I385" s="2">
        <v>45618</v>
      </c>
      <c r="J385" s="2"/>
      <c r="K385" s="2" t="str">
        <f>_xlfn.XLOOKUP(demandas[[#This Row],[SquadID]],squads!A:A,squads!B:B,)</f>
        <v>Squad Infraestrutura</v>
      </c>
      <c r="L385" s="2" t="str">
        <f>VLOOKUP(demandas[[#This Row],[StatusID]],status!A:B,2,)</f>
        <v>Em Andamento</v>
      </c>
    </row>
    <row r="386" spans="1:12" x14ac:dyDescent="0.25">
      <c r="A386">
        <v>385</v>
      </c>
      <c r="B386" s="1" t="s">
        <v>394</v>
      </c>
      <c r="C386">
        <v>2</v>
      </c>
      <c r="D386">
        <v>3</v>
      </c>
      <c r="E386">
        <v>1</v>
      </c>
      <c r="F386">
        <v>5</v>
      </c>
      <c r="G386">
        <v>6</v>
      </c>
      <c r="H386" s="2">
        <v>45705</v>
      </c>
      <c r="I386" s="2">
        <v>45713</v>
      </c>
      <c r="J386" s="2">
        <v>45724</v>
      </c>
      <c r="K386" s="2" t="str">
        <f>_xlfn.XLOOKUP(demandas[[#This Row],[SquadID]],squads!A:A,squads!B:B,)</f>
        <v>Squad Crédito</v>
      </c>
      <c r="L386" s="2" t="str">
        <f>VLOOKUP(demandas[[#This Row],[StatusID]],status!A:B,2,)</f>
        <v>Concluído</v>
      </c>
    </row>
    <row r="387" spans="1:12" x14ac:dyDescent="0.25">
      <c r="A387">
        <v>386</v>
      </c>
      <c r="B387" s="1" t="s">
        <v>395</v>
      </c>
      <c r="C387">
        <v>8</v>
      </c>
      <c r="D387">
        <v>3</v>
      </c>
      <c r="E387">
        <v>2</v>
      </c>
      <c r="F387">
        <v>2</v>
      </c>
      <c r="G387">
        <v>23</v>
      </c>
      <c r="H387" s="2">
        <v>45328</v>
      </c>
      <c r="I387" s="2">
        <v>45339</v>
      </c>
      <c r="J387" s="2">
        <v>45339</v>
      </c>
      <c r="K387" s="2" t="str">
        <f>_xlfn.XLOOKUP(demandas[[#This Row],[SquadID]],squads!A:A,squads!B:B,)</f>
        <v>Squad Infraestrutura</v>
      </c>
      <c r="L387" s="2" t="str">
        <f>VLOOKUP(demandas[[#This Row],[StatusID]],status!A:B,2,)</f>
        <v>Concluído</v>
      </c>
    </row>
    <row r="388" spans="1:12" x14ac:dyDescent="0.25">
      <c r="A388">
        <v>387</v>
      </c>
      <c r="B388" s="1" t="s">
        <v>396</v>
      </c>
      <c r="C388">
        <v>5</v>
      </c>
      <c r="D388">
        <v>3</v>
      </c>
      <c r="E388">
        <v>3</v>
      </c>
      <c r="F388">
        <v>5</v>
      </c>
      <c r="G388">
        <v>14</v>
      </c>
      <c r="H388" s="2">
        <v>45811</v>
      </c>
      <c r="I388" s="2">
        <v>45833</v>
      </c>
      <c r="J388" s="2">
        <v>45838</v>
      </c>
      <c r="K388" s="2" t="str">
        <f>_xlfn.XLOOKUP(demandas[[#This Row],[SquadID]],squads!A:A,squads!B:B,)</f>
        <v>Squad Dados</v>
      </c>
      <c r="L388" s="2" t="str">
        <f>VLOOKUP(demandas[[#This Row],[StatusID]],status!A:B,2,)</f>
        <v>Concluído</v>
      </c>
    </row>
    <row r="389" spans="1:12" x14ac:dyDescent="0.25">
      <c r="A389">
        <v>388</v>
      </c>
      <c r="B389" s="1" t="s">
        <v>397</v>
      </c>
      <c r="C389">
        <v>1</v>
      </c>
      <c r="D389">
        <v>3</v>
      </c>
      <c r="E389">
        <v>1</v>
      </c>
      <c r="F389">
        <v>1</v>
      </c>
      <c r="G389">
        <v>2</v>
      </c>
      <c r="H389" s="2">
        <v>45479</v>
      </c>
      <c r="I389" s="2">
        <v>45487</v>
      </c>
      <c r="J389" s="2">
        <v>45483</v>
      </c>
      <c r="K389" s="2" t="str">
        <f>_xlfn.XLOOKUP(demandas[[#This Row],[SquadID]],squads!A:A,squads!B:B,)</f>
        <v>Squad Pagamentos</v>
      </c>
      <c r="L389" s="2" t="str">
        <f>VLOOKUP(demandas[[#This Row],[StatusID]],status!A:B,2,)</f>
        <v>Concluído</v>
      </c>
    </row>
    <row r="390" spans="1:12" x14ac:dyDescent="0.25">
      <c r="A390">
        <v>389</v>
      </c>
      <c r="B390" s="1" t="s">
        <v>398</v>
      </c>
      <c r="C390">
        <v>7</v>
      </c>
      <c r="D390">
        <v>3</v>
      </c>
      <c r="E390">
        <v>3</v>
      </c>
      <c r="F390">
        <v>5</v>
      </c>
      <c r="G390">
        <v>20</v>
      </c>
      <c r="H390" s="2">
        <v>45558</v>
      </c>
      <c r="I390" s="2">
        <v>45580</v>
      </c>
      <c r="J390" s="2">
        <v>45560</v>
      </c>
      <c r="K390" s="2" t="str">
        <f>_xlfn.XLOOKUP(demandas[[#This Row],[SquadID]],squads!A:A,squads!B:B,)</f>
        <v>Squad Experiência</v>
      </c>
      <c r="L390" s="2" t="str">
        <f>VLOOKUP(demandas[[#This Row],[StatusID]],status!A:B,2,)</f>
        <v>Concluído</v>
      </c>
    </row>
    <row r="391" spans="1:12" x14ac:dyDescent="0.25">
      <c r="A391">
        <v>390</v>
      </c>
      <c r="B391" s="1" t="s">
        <v>399</v>
      </c>
      <c r="C391">
        <v>5</v>
      </c>
      <c r="D391">
        <v>4</v>
      </c>
      <c r="E391">
        <v>3</v>
      </c>
      <c r="F391">
        <v>3</v>
      </c>
      <c r="G391">
        <v>14</v>
      </c>
      <c r="H391" s="2">
        <v>45491</v>
      </c>
      <c r="I391" s="2">
        <v>45510</v>
      </c>
      <c r="J391" s="2"/>
      <c r="K391" s="2" t="str">
        <f>_xlfn.XLOOKUP(demandas[[#This Row],[SquadID]],squads!A:A,squads!B:B,)</f>
        <v>Squad Dados</v>
      </c>
      <c r="L391" s="2" t="str">
        <f>VLOOKUP(demandas[[#This Row],[StatusID]],status!A:B,2,)</f>
        <v>Bloqueado</v>
      </c>
    </row>
    <row r="392" spans="1:12" x14ac:dyDescent="0.25">
      <c r="A392">
        <v>391</v>
      </c>
      <c r="B392" s="1" t="s">
        <v>400</v>
      </c>
      <c r="C392">
        <v>5</v>
      </c>
      <c r="D392">
        <v>3</v>
      </c>
      <c r="E392">
        <v>3</v>
      </c>
      <c r="F392">
        <v>5</v>
      </c>
      <c r="G392">
        <v>13</v>
      </c>
      <c r="H392" s="2">
        <v>45432</v>
      </c>
      <c r="I392" s="2">
        <v>45453</v>
      </c>
      <c r="J392" s="2">
        <v>45468</v>
      </c>
      <c r="K392" s="2" t="str">
        <f>_xlfn.XLOOKUP(demandas[[#This Row],[SquadID]],squads!A:A,squads!B:B,)</f>
        <v>Squad Dados</v>
      </c>
      <c r="L392" s="2" t="str">
        <f>VLOOKUP(demandas[[#This Row],[StatusID]],status!A:B,2,)</f>
        <v>Concluído</v>
      </c>
    </row>
    <row r="393" spans="1:12" x14ac:dyDescent="0.25">
      <c r="A393">
        <v>392</v>
      </c>
      <c r="B393" s="1" t="s">
        <v>401</v>
      </c>
      <c r="C393">
        <v>1</v>
      </c>
      <c r="D393">
        <v>3</v>
      </c>
      <c r="E393">
        <v>4</v>
      </c>
      <c r="F393">
        <v>1</v>
      </c>
      <c r="G393">
        <v>1</v>
      </c>
      <c r="H393" s="2">
        <v>45791</v>
      </c>
      <c r="I393" s="2">
        <v>45824</v>
      </c>
      <c r="J393" s="2">
        <v>45795</v>
      </c>
      <c r="K393" s="2" t="str">
        <f>_xlfn.XLOOKUP(demandas[[#This Row],[SquadID]],squads!A:A,squads!B:B,)</f>
        <v>Squad Pagamentos</v>
      </c>
      <c r="L393" s="2" t="str">
        <f>VLOOKUP(demandas[[#This Row],[StatusID]],status!A:B,2,)</f>
        <v>Concluído</v>
      </c>
    </row>
    <row r="394" spans="1:12" x14ac:dyDescent="0.25">
      <c r="A394">
        <v>393</v>
      </c>
      <c r="B394" s="1" t="s">
        <v>402</v>
      </c>
      <c r="C394">
        <v>4</v>
      </c>
      <c r="D394">
        <v>3</v>
      </c>
      <c r="E394">
        <v>2</v>
      </c>
      <c r="F394">
        <v>4</v>
      </c>
      <c r="G394">
        <v>12</v>
      </c>
      <c r="H394" s="2">
        <v>45454</v>
      </c>
      <c r="I394" s="2">
        <v>45469</v>
      </c>
      <c r="J394" s="2">
        <v>45472</v>
      </c>
      <c r="K394" s="2" t="str">
        <f>_xlfn.XLOOKUP(demandas[[#This Row],[SquadID]],squads!A:A,squads!B:B,)</f>
        <v>Squad Segurança</v>
      </c>
      <c r="L394" s="2" t="str">
        <f>VLOOKUP(demandas[[#This Row],[StatusID]],status!A:B,2,)</f>
        <v>Concluído</v>
      </c>
    </row>
    <row r="395" spans="1:12" x14ac:dyDescent="0.25">
      <c r="A395">
        <v>394</v>
      </c>
      <c r="B395" s="1" t="s">
        <v>403</v>
      </c>
      <c r="C395">
        <v>3</v>
      </c>
      <c r="D395">
        <v>1</v>
      </c>
      <c r="E395">
        <v>3</v>
      </c>
      <c r="F395">
        <v>2</v>
      </c>
      <c r="G395">
        <v>8</v>
      </c>
      <c r="H395" s="2">
        <v>45684</v>
      </c>
      <c r="I395" s="2">
        <v>45702</v>
      </c>
      <c r="J395" s="2"/>
      <c r="K395" s="2" t="str">
        <f>_xlfn.XLOOKUP(demandas[[#This Row],[SquadID]],squads!A:A,squads!B:B,)</f>
        <v>Squad Onboarding</v>
      </c>
      <c r="L395" s="2" t="str">
        <f>VLOOKUP(demandas[[#This Row],[StatusID]],status!A:B,2,)</f>
        <v>Aberto</v>
      </c>
    </row>
    <row r="396" spans="1:12" x14ac:dyDescent="0.25">
      <c r="A396">
        <v>395</v>
      </c>
      <c r="B396" s="1" t="s">
        <v>404</v>
      </c>
      <c r="C396">
        <v>6</v>
      </c>
      <c r="D396">
        <v>3</v>
      </c>
      <c r="E396">
        <v>4</v>
      </c>
      <c r="F396">
        <v>5</v>
      </c>
      <c r="G396">
        <v>18</v>
      </c>
      <c r="H396" s="2">
        <v>45487</v>
      </c>
      <c r="I396" s="2">
        <v>45515</v>
      </c>
      <c r="J396" s="2">
        <v>45495</v>
      </c>
      <c r="K396" s="2" t="str">
        <f>_xlfn.XLOOKUP(demandas[[#This Row],[SquadID]],squads!A:A,squads!B:B,)</f>
        <v>Squad Integrações</v>
      </c>
      <c r="L396" s="2" t="str">
        <f>VLOOKUP(demandas[[#This Row],[StatusID]],status!A:B,2,)</f>
        <v>Concluído</v>
      </c>
    </row>
    <row r="397" spans="1:12" x14ac:dyDescent="0.25">
      <c r="A397">
        <v>396</v>
      </c>
      <c r="B397" s="1" t="s">
        <v>405</v>
      </c>
      <c r="C397">
        <v>6</v>
      </c>
      <c r="D397">
        <v>2</v>
      </c>
      <c r="E397">
        <v>2</v>
      </c>
      <c r="F397">
        <v>1</v>
      </c>
      <c r="G397">
        <v>17</v>
      </c>
      <c r="H397" s="2">
        <v>45807</v>
      </c>
      <c r="I397" s="2">
        <v>45819</v>
      </c>
      <c r="J397" s="2"/>
      <c r="K397" s="2" t="str">
        <f>_xlfn.XLOOKUP(demandas[[#This Row],[SquadID]],squads!A:A,squads!B:B,)</f>
        <v>Squad Integrações</v>
      </c>
      <c r="L397" s="2" t="str">
        <f>VLOOKUP(demandas[[#This Row],[StatusID]],status!A:B,2,)</f>
        <v>Em Andamento</v>
      </c>
    </row>
    <row r="398" spans="1:12" x14ac:dyDescent="0.25">
      <c r="A398">
        <v>397</v>
      </c>
      <c r="B398" s="1" t="s">
        <v>406</v>
      </c>
      <c r="C398">
        <v>1</v>
      </c>
      <c r="D398">
        <v>4</v>
      </c>
      <c r="E398">
        <v>4</v>
      </c>
      <c r="F398">
        <v>3</v>
      </c>
      <c r="G398">
        <v>3</v>
      </c>
      <c r="H398" s="2">
        <v>45637</v>
      </c>
      <c r="I398" s="2">
        <v>45671</v>
      </c>
      <c r="J398" s="2"/>
      <c r="K398" s="2" t="str">
        <f>_xlfn.XLOOKUP(demandas[[#This Row],[SquadID]],squads!A:A,squads!B:B,)</f>
        <v>Squad Pagamentos</v>
      </c>
      <c r="L398" s="2" t="str">
        <f>VLOOKUP(demandas[[#This Row],[StatusID]],status!A:B,2,)</f>
        <v>Bloqueado</v>
      </c>
    </row>
    <row r="399" spans="1:12" x14ac:dyDescent="0.25">
      <c r="A399">
        <v>398</v>
      </c>
      <c r="B399" s="1" t="s">
        <v>407</v>
      </c>
      <c r="C399">
        <v>3</v>
      </c>
      <c r="D399">
        <v>1</v>
      </c>
      <c r="E399">
        <v>4</v>
      </c>
      <c r="F399">
        <v>2</v>
      </c>
      <c r="G399">
        <v>7</v>
      </c>
      <c r="H399" s="2">
        <v>45460</v>
      </c>
      <c r="I399" s="2">
        <v>45494</v>
      </c>
      <c r="J399" s="2"/>
      <c r="K399" s="2" t="str">
        <f>_xlfn.XLOOKUP(demandas[[#This Row],[SquadID]],squads!A:A,squads!B:B,)</f>
        <v>Squad Onboarding</v>
      </c>
      <c r="L399" s="2" t="str">
        <f>VLOOKUP(demandas[[#This Row],[StatusID]],status!A:B,2,)</f>
        <v>Aberto</v>
      </c>
    </row>
    <row r="400" spans="1:12" x14ac:dyDescent="0.25">
      <c r="A400">
        <v>399</v>
      </c>
      <c r="B400" s="1" t="s">
        <v>408</v>
      </c>
      <c r="C400">
        <v>6</v>
      </c>
      <c r="D400">
        <v>1</v>
      </c>
      <c r="E400">
        <v>2</v>
      </c>
      <c r="F400">
        <v>4</v>
      </c>
      <c r="G400">
        <v>18</v>
      </c>
      <c r="H400" s="2">
        <v>45808</v>
      </c>
      <c r="I400" s="2">
        <v>45818</v>
      </c>
      <c r="J400" s="2"/>
      <c r="K400" s="2" t="str">
        <f>_xlfn.XLOOKUP(demandas[[#This Row],[SquadID]],squads!A:A,squads!B:B,)</f>
        <v>Squad Integrações</v>
      </c>
      <c r="L400" s="2" t="str">
        <f>VLOOKUP(demandas[[#This Row],[StatusID]],status!A:B,2,)</f>
        <v>Aberto</v>
      </c>
    </row>
    <row r="401" spans="1:12" x14ac:dyDescent="0.25">
      <c r="A401">
        <v>400</v>
      </c>
      <c r="B401" s="1" t="s">
        <v>409</v>
      </c>
      <c r="C401">
        <v>5</v>
      </c>
      <c r="D401">
        <v>3</v>
      </c>
      <c r="E401">
        <v>1</v>
      </c>
      <c r="F401">
        <v>5</v>
      </c>
      <c r="G401">
        <v>14</v>
      </c>
      <c r="H401" s="2">
        <v>45341</v>
      </c>
      <c r="I401" s="2">
        <v>45344</v>
      </c>
      <c r="J401" s="2">
        <v>45342</v>
      </c>
      <c r="K401" s="2" t="str">
        <f>_xlfn.XLOOKUP(demandas[[#This Row],[SquadID]],squads!A:A,squads!B:B,)</f>
        <v>Squad Dados</v>
      </c>
      <c r="L401" s="2" t="str">
        <f>VLOOKUP(demandas[[#This Row],[StatusID]],status!A:B,2,)</f>
        <v>Concluído</v>
      </c>
    </row>
    <row r="402" spans="1:12" x14ac:dyDescent="0.25">
      <c r="A402">
        <v>401</v>
      </c>
      <c r="B402" s="1" t="s">
        <v>410</v>
      </c>
      <c r="C402">
        <v>6</v>
      </c>
      <c r="D402">
        <v>3</v>
      </c>
      <c r="E402">
        <v>3</v>
      </c>
      <c r="F402">
        <v>2</v>
      </c>
      <c r="G402">
        <v>18</v>
      </c>
      <c r="H402" s="2">
        <v>45550</v>
      </c>
      <c r="I402" s="2">
        <v>45575</v>
      </c>
      <c r="J402" s="2">
        <v>45572</v>
      </c>
      <c r="K402" s="2" t="str">
        <f>_xlfn.XLOOKUP(demandas[[#This Row],[SquadID]],squads!A:A,squads!B:B,)</f>
        <v>Squad Integrações</v>
      </c>
      <c r="L402" s="2" t="str">
        <f>VLOOKUP(demandas[[#This Row],[StatusID]],status!A:B,2,)</f>
        <v>Concluído</v>
      </c>
    </row>
    <row r="403" spans="1:12" x14ac:dyDescent="0.25">
      <c r="A403">
        <v>402</v>
      </c>
      <c r="B403" s="1" t="s">
        <v>411</v>
      </c>
      <c r="C403">
        <v>1</v>
      </c>
      <c r="D403">
        <v>3</v>
      </c>
      <c r="E403">
        <v>3</v>
      </c>
      <c r="F403">
        <v>1</v>
      </c>
      <c r="G403">
        <v>3</v>
      </c>
      <c r="H403" s="2">
        <v>45568</v>
      </c>
      <c r="I403" s="2">
        <v>45588</v>
      </c>
      <c r="J403" s="2">
        <v>45597</v>
      </c>
      <c r="K403" s="2" t="str">
        <f>_xlfn.XLOOKUP(demandas[[#This Row],[SquadID]],squads!A:A,squads!B:B,)</f>
        <v>Squad Pagamentos</v>
      </c>
      <c r="L403" s="2" t="str">
        <f>VLOOKUP(demandas[[#This Row],[StatusID]],status!A:B,2,)</f>
        <v>Concluído</v>
      </c>
    </row>
    <row r="404" spans="1:12" x14ac:dyDescent="0.25">
      <c r="A404">
        <v>403</v>
      </c>
      <c r="B404" s="1" t="s">
        <v>412</v>
      </c>
      <c r="C404">
        <v>5</v>
      </c>
      <c r="D404">
        <v>3</v>
      </c>
      <c r="E404">
        <v>2</v>
      </c>
      <c r="F404">
        <v>4</v>
      </c>
      <c r="G404">
        <v>14</v>
      </c>
      <c r="H404" s="2">
        <v>45495</v>
      </c>
      <c r="I404" s="2">
        <v>45506</v>
      </c>
      <c r="J404" s="2">
        <v>45510</v>
      </c>
      <c r="K404" s="2" t="str">
        <f>_xlfn.XLOOKUP(demandas[[#This Row],[SquadID]],squads!A:A,squads!B:B,)</f>
        <v>Squad Dados</v>
      </c>
      <c r="L404" s="2" t="str">
        <f>VLOOKUP(demandas[[#This Row],[StatusID]],status!A:B,2,)</f>
        <v>Concluído</v>
      </c>
    </row>
    <row r="405" spans="1:12" x14ac:dyDescent="0.25">
      <c r="A405">
        <v>404</v>
      </c>
      <c r="B405" s="1" t="s">
        <v>413</v>
      </c>
      <c r="C405">
        <v>6</v>
      </c>
      <c r="D405">
        <v>3</v>
      </c>
      <c r="E405">
        <v>2</v>
      </c>
      <c r="F405">
        <v>1</v>
      </c>
      <c r="G405">
        <v>17</v>
      </c>
      <c r="H405" s="2">
        <v>45504</v>
      </c>
      <c r="I405" s="2">
        <v>45519</v>
      </c>
      <c r="J405" s="2">
        <v>45515</v>
      </c>
      <c r="K405" s="2" t="str">
        <f>_xlfn.XLOOKUP(demandas[[#This Row],[SquadID]],squads!A:A,squads!B:B,)</f>
        <v>Squad Integrações</v>
      </c>
      <c r="L405" s="2" t="str">
        <f>VLOOKUP(demandas[[#This Row],[StatusID]],status!A:B,2,)</f>
        <v>Concluído</v>
      </c>
    </row>
    <row r="406" spans="1:12" x14ac:dyDescent="0.25">
      <c r="A406">
        <v>405</v>
      </c>
      <c r="B406" s="1" t="s">
        <v>414</v>
      </c>
      <c r="C406">
        <v>7</v>
      </c>
      <c r="D406">
        <v>3</v>
      </c>
      <c r="E406">
        <v>4</v>
      </c>
      <c r="F406">
        <v>4</v>
      </c>
      <c r="G406">
        <v>19</v>
      </c>
      <c r="H406" s="2">
        <v>45384</v>
      </c>
      <c r="I406" s="2">
        <v>45413</v>
      </c>
      <c r="J406" s="2">
        <v>45393</v>
      </c>
      <c r="K406" s="2" t="str">
        <f>_xlfn.XLOOKUP(demandas[[#This Row],[SquadID]],squads!A:A,squads!B:B,)</f>
        <v>Squad Experiência</v>
      </c>
      <c r="L406" s="2" t="str">
        <f>VLOOKUP(demandas[[#This Row],[StatusID]],status!A:B,2,)</f>
        <v>Concluído</v>
      </c>
    </row>
    <row r="407" spans="1:12" x14ac:dyDescent="0.25">
      <c r="A407">
        <v>406</v>
      </c>
      <c r="B407" s="1" t="s">
        <v>415</v>
      </c>
      <c r="C407">
        <v>2</v>
      </c>
      <c r="D407">
        <v>3</v>
      </c>
      <c r="E407">
        <v>4</v>
      </c>
      <c r="F407">
        <v>1</v>
      </c>
      <c r="G407">
        <v>5</v>
      </c>
      <c r="H407" s="2">
        <v>45343</v>
      </c>
      <c r="I407" s="2">
        <v>45372</v>
      </c>
      <c r="J407" s="2">
        <v>45386</v>
      </c>
      <c r="K407" s="2" t="str">
        <f>_xlfn.XLOOKUP(demandas[[#This Row],[SquadID]],squads!A:A,squads!B:B,)</f>
        <v>Squad Crédito</v>
      </c>
      <c r="L407" s="2" t="str">
        <f>VLOOKUP(demandas[[#This Row],[StatusID]],status!A:B,2,)</f>
        <v>Concluído</v>
      </c>
    </row>
    <row r="408" spans="1:12" x14ac:dyDescent="0.25">
      <c r="A408">
        <v>407</v>
      </c>
      <c r="B408" s="1" t="s">
        <v>416</v>
      </c>
      <c r="C408">
        <v>3</v>
      </c>
      <c r="D408">
        <v>1</v>
      </c>
      <c r="E408">
        <v>3</v>
      </c>
      <c r="F408">
        <v>2</v>
      </c>
      <c r="G408">
        <v>7</v>
      </c>
      <c r="H408" s="2">
        <v>45389</v>
      </c>
      <c r="I408" s="2">
        <v>45407</v>
      </c>
      <c r="J408" s="2"/>
      <c r="K408" s="2" t="str">
        <f>_xlfn.XLOOKUP(demandas[[#This Row],[SquadID]],squads!A:A,squads!B:B,)</f>
        <v>Squad Onboarding</v>
      </c>
      <c r="L408" s="2" t="str">
        <f>VLOOKUP(demandas[[#This Row],[StatusID]],status!A:B,2,)</f>
        <v>Aberto</v>
      </c>
    </row>
    <row r="409" spans="1:12" x14ac:dyDescent="0.25">
      <c r="A409">
        <v>408</v>
      </c>
      <c r="B409" s="1" t="s">
        <v>417</v>
      </c>
      <c r="C409">
        <v>5</v>
      </c>
      <c r="D409">
        <v>3</v>
      </c>
      <c r="E409">
        <v>2</v>
      </c>
      <c r="F409">
        <v>2</v>
      </c>
      <c r="G409">
        <v>14</v>
      </c>
      <c r="H409" s="2">
        <v>45566</v>
      </c>
      <c r="I409" s="2">
        <v>45575</v>
      </c>
      <c r="J409" s="2">
        <v>45568</v>
      </c>
      <c r="K409" s="2" t="str">
        <f>_xlfn.XLOOKUP(demandas[[#This Row],[SquadID]],squads!A:A,squads!B:B,)</f>
        <v>Squad Dados</v>
      </c>
      <c r="L409" s="2" t="str">
        <f>VLOOKUP(demandas[[#This Row],[StatusID]],status!A:B,2,)</f>
        <v>Concluído</v>
      </c>
    </row>
    <row r="410" spans="1:12" x14ac:dyDescent="0.25">
      <c r="A410">
        <v>409</v>
      </c>
      <c r="B410" s="1" t="s">
        <v>418</v>
      </c>
      <c r="C410">
        <v>3</v>
      </c>
      <c r="D410">
        <v>3</v>
      </c>
      <c r="E410">
        <v>3</v>
      </c>
      <c r="F410">
        <v>4</v>
      </c>
      <c r="G410">
        <v>9</v>
      </c>
      <c r="H410" s="2">
        <v>45781</v>
      </c>
      <c r="I410" s="2">
        <v>45805</v>
      </c>
      <c r="J410" s="2">
        <v>45807</v>
      </c>
      <c r="K410" s="2" t="str">
        <f>_xlfn.XLOOKUP(demandas[[#This Row],[SquadID]],squads!A:A,squads!B:B,)</f>
        <v>Squad Onboarding</v>
      </c>
      <c r="L410" s="2" t="str">
        <f>VLOOKUP(demandas[[#This Row],[StatusID]],status!A:B,2,)</f>
        <v>Concluído</v>
      </c>
    </row>
    <row r="411" spans="1:12" x14ac:dyDescent="0.25">
      <c r="A411">
        <v>410</v>
      </c>
      <c r="B411" s="1" t="s">
        <v>419</v>
      </c>
      <c r="C411">
        <v>6</v>
      </c>
      <c r="D411">
        <v>4</v>
      </c>
      <c r="E411">
        <v>1</v>
      </c>
      <c r="F411">
        <v>5</v>
      </c>
      <c r="G411">
        <v>16</v>
      </c>
      <c r="H411" s="2">
        <v>45398</v>
      </c>
      <c r="I411" s="2">
        <v>45407</v>
      </c>
      <c r="J411" s="2"/>
      <c r="K411" s="2" t="str">
        <f>_xlfn.XLOOKUP(demandas[[#This Row],[SquadID]],squads!A:A,squads!B:B,)</f>
        <v>Squad Integrações</v>
      </c>
      <c r="L411" s="2" t="str">
        <f>VLOOKUP(demandas[[#This Row],[StatusID]],status!A:B,2,)</f>
        <v>Bloqueado</v>
      </c>
    </row>
    <row r="412" spans="1:12" x14ac:dyDescent="0.25">
      <c r="A412">
        <v>411</v>
      </c>
      <c r="B412" s="1" t="s">
        <v>420</v>
      </c>
      <c r="C412">
        <v>6</v>
      </c>
      <c r="D412">
        <v>4</v>
      </c>
      <c r="E412">
        <v>3</v>
      </c>
      <c r="F412">
        <v>1</v>
      </c>
      <c r="G412">
        <v>17</v>
      </c>
      <c r="H412" s="2">
        <v>45659</v>
      </c>
      <c r="I412" s="2">
        <v>45677</v>
      </c>
      <c r="J412" s="2"/>
      <c r="K412" s="2" t="str">
        <f>_xlfn.XLOOKUP(demandas[[#This Row],[SquadID]],squads!A:A,squads!B:B,)</f>
        <v>Squad Integrações</v>
      </c>
      <c r="L412" s="2" t="str">
        <f>VLOOKUP(demandas[[#This Row],[StatusID]],status!A:B,2,)</f>
        <v>Bloqueado</v>
      </c>
    </row>
    <row r="413" spans="1:12" x14ac:dyDescent="0.25">
      <c r="A413">
        <v>412</v>
      </c>
      <c r="B413" s="1" t="s">
        <v>421</v>
      </c>
      <c r="C413">
        <v>6</v>
      </c>
      <c r="D413">
        <v>3</v>
      </c>
      <c r="E413">
        <v>4</v>
      </c>
      <c r="F413">
        <v>3</v>
      </c>
      <c r="G413">
        <v>17</v>
      </c>
      <c r="H413" s="2">
        <v>45407</v>
      </c>
      <c r="I413" s="2">
        <v>45441</v>
      </c>
      <c r="J413" s="2">
        <v>45428</v>
      </c>
      <c r="K413" s="2" t="str">
        <f>_xlfn.XLOOKUP(demandas[[#This Row],[SquadID]],squads!A:A,squads!B:B,)</f>
        <v>Squad Integrações</v>
      </c>
      <c r="L413" s="2" t="str">
        <f>VLOOKUP(demandas[[#This Row],[StatusID]],status!A:B,2,)</f>
        <v>Concluído</v>
      </c>
    </row>
    <row r="414" spans="1:12" x14ac:dyDescent="0.25">
      <c r="A414">
        <v>413</v>
      </c>
      <c r="B414" s="1" t="s">
        <v>422</v>
      </c>
      <c r="C414">
        <v>6</v>
      </c>
      <c r="D414">
        <v>3</v>
      </c>
      <c r="E414">
        <v>3</v>
      </c>
      <c r="F414">
        <v>4</v>
      </c>
      <c r="G414">
        <v>18</v>
      </c>
      <c r="H414" s="2">
        <v>45521</v>
      </c>
      <c r="I414" s="2">
        <v>45544</v>
      </c>
      <c r="J414" s="2">
        <v>45541</v>
      </c>
      <c r="K414" s="2" t="str">
        <f>_xlfn.XLOOKUP(demandas[[#This Row],[SquadID]],squads!A:A,squads!B:B,)</f>
        <v>Squad Integrações</v>
      </c>
      <c r="L414" s="2" t="str">
        <f>VLOOKUP(demandas[[#This Row],[StatusID]],status!A:B,2,)</f>
        <v>Concluído</v>
      </c>
    </row>
    <row r="415" spans="1:12" x14ac:dyDescent="0.25">
      <c r="A415">
        <v>414</v>
      </c>
      <c r="B415" s="1" t="s">
        <v>423</v>
      </c>
      <c r="C415">
        <v>3</v>
      </c>
      <c r="D415">
        <v>3</v>
      </c>
      <c r="E415">
        <v>3</v>
      </c>
      <c r="F415">
        <v>3</v>
      </c>
      <c r="G415">
        <v>9</v>
      </c>
      <c r="H415" s="2">
        <v>45686</v>
      </c>
      <c r="I415" s="2">
        <v>45706</v>
      </c>
      <c r="J415" s="2">
        <v>45706</v>
      </c>
      <c r="K415" s="2" t="str">
        <f>_xlfn.XLOOKUP(demandas[[#This Row],[SquadID]],squads!A:A,squads!B:B,)</f>
        <v>Squad Onboarding</v>
      </c>
      <c r="L415" s="2" t="str">
        <f>VLOOKUP(demandas[[#This Row],[StatusID]],status!A:B,2,)</f>
        <v>Concluído</v>
      </c>
    </row>
    <row r="416" spans="1:12" x14ac:dyDescent="0.25">
      <c r="A416">
        <v>415</v>
      </c>
      <c r="B416" s="1" t="s">
        <v>424</v>
      </c>
      <c r="C416">
        <v>1</v>
      </c>
      <c r="D416">
        <v>1</v>
      </c>
      <c r="E416">
        <v>4</v>
      </c>
      <c r="F416">
        <v>3</v>
      </c>
      <c r="G416">
        <v>2</v>
      </c>
      <c r="H416" s="2">
        <v>45799</v>
      </c>
      <c r="I416" s="2">
        <v>45829</v>
      </c>
      <c r="J416" s="2"/>
      <c r="K416" s="2" t="str">
        <f>_xlfn.XLOOKUP(demandas[[#This Row],[SquadID]],squads!A:A,squads!B:B,)</f>
        <v>Squad Pagamentos</v>
      </c>
      <c r="L416" s="2" t="str">
        <f>VLOOKUP(demandas[[#This Row],[StatusID]],status!A:B,2,)</f>
        <v>Aberto</v>
      </c>
    </row>
    <row r="417" spans="1:12" x14ac:dyDescent="0.25">
      <c r="A417">
        <v>416</v>
      </c>
      <c r="B417" s="1" t="s">
        <v>425</v>
      </c>
      <c r="C417">
        <v>3</v>
      </c>
      <c r="D417">
        <v>3</v>
      </c>
      <c r="E417">
        <v>2</v>
      </c>
      <c r="F417">
        <v>1</v>
      </c>
      <c r="G417">
        <v>9</v>
      </c>
      <c r="H417" s="2">
        <v>45520</v>
      </c>
      <c r="I417" s="2">
        <v>45534</v>
      </c>
      <c r="J417" s="2">
        <v>45528</v>
      </c>
      <c r="K417" s="2" t="str">
        <f>_xlfn.XLOOKUP(demandas[[#This Row],[SquadID]],squads!A:A,squads!B:B,)</f>
        <v>Squad Onboarding</v>
      </c>
      <c r="L417" s="2" t="str">
        <f>VLOOKUP(demandas[[#This Row],[StatusID]],status!A:B,2,)</f>
        <v>Concluído</v>
      </c>
    </row>
    <row r="418" spans="1:12" x14ac:dyDescent="0.25">
      <c r="A418">
        <v>417</v>
      </c>
      <c r="B418" s="1" t="s">
        <v>426</v>
      </c>
      <c r="C418">
        <v>6</v>
      </c>
      <c r="D418">
        <v>5</v>
      </c>
      <c r="E418">
        <v>3</v>
      </c>
      <c r="F418">
        <v>5</v>
      </c>
      <c r="G418">
        <v>17</v>
      </c>
      <c r="H418" s="2">
        <v>45615</v>
      </c>
      <c r="I418" s="2">
        <v>45634</v>
      </c>
      <c r="J418" s="2">
        <v>45635</v>
      </c>
      <c r="K418" s="2" t="str">
        <f>_xlfn.XLOOKUP(demandas[[#This Row],[SquadID]],squads!A:A,squads!B:B,)</f>
        <v>Squad Integrações</v>
      </c>
      <c r="L418" s="2" t="str">
        <f>VLOOKUP(demandas[[#This Row],[StatusID]],status!A:B,2,)</f>
        <v>Cancelado</v>
      </c>
    </row>
    <row r="419" spans="1:12" x14ac:dyDescent="0.25">
      <c r="A419">
        <v>418</v>
      </c>
      <c r="B419" s="1" t="s">
        <v>427</v>
      </c>
      <c r="C419">
        <v>3</v>
      </c>
      <c r="D419">
        <v>3</v>
      </c>
      <c r="E419">
        <v>1</v>
      </c>
      <c r="F419">
        <v>3</v>
      </c>
      <c r="G419">
        <v>7</v>
      </c>
      <c r="H419" s="2">
        <v>45603</v>
      </c>
      <c r="I419" s="2">
        <v>45609</v>
      </c>
      <c r="J419" s="2">
        <v>45606</v>
      </c>
      <c r="K419" s="2" t="str">
        <f>_xlfn.XLOOKUP(demandas[[#This Row],[SquadID]],squads!A:A,squads!B:B,)</f>
        <v>Squad Onboarding</v>
      </c>
      <c r="L419" s="2" t="str">
        <f>VLOOKUP(demandas[[#This Row],[StatusID]],status!A:B,2,)</f>
        <v>Concluído</v>
      </c>
    </row>
    <row r="420" spans="1:12" x14ac:dyDescent="0.25">
      <c r="A420">
        <v>419</v>
      </c>
      <c r="B420" s="1" t="s">
        <v>428</v>
      </c>
      <c r="C420">
        <v>7</v>
      </c>
      <c r="D420">
        <v>3</v>
      </c>
      <c r="E420">
        <v>4</v>
      </c>
      <c r="F420">
        <v>4</v>
      </c>
      <c r="G420">
        <v>20</v>
      </c>
      <c r="H420" s="2">
        <v>45776</v>
      </c>
      <c r="I420" s="2">
        <v>45809</v>
      </c>
      <c r="J420" s="2">
        <v>45791</v>
      </c>
      <c r="K420" s="2" t="str">
        <f>_xlfn.XLOOKUP(demandas[[#This Row],[SquadID]],squads!A:A,squads!B:B,)</f>
        <v>Squad Experiência</v>
      </c>
      <c r="L420" s="2" t="str">
        <f>VLOOKUP(demandas[[#This Row],[StatusID]],status!A:B,2,)</f>
        <v>Concluído</v>
      </c>
    </row>
    <row r="421" spans="1:12" x14ac:dyDescent="0.25">
      <c r="A421">
        <v>420</v>
      </c>
      <c r="B421" s="1" t="s">
        <v>429</v>
      </c>
      <c r="C421">
        <v>3</v>
      </c>
      <c r="D421">
        <v>1</v>
      </c>
      <c r="E421">
        <v>4</v>
      </c>
      <c r="F421">
        <v>6</v>
      </c>
      <c r="G421">
        <v>8</v>
      </c>
      <c r="H421" s="2">
        <v>45674</v>
      </c>
      <c r="I421" s="2">
        <v>45703</v>
      </c>
      <c r="J421" s="2"/>
      <c r="K421" s="2" t="str">
        <f>_xlfn.XLOOKUP(demandas[[#This Row],[SquadID]],squads!A:A,squads!B:B,)</f>
        <v>Squad Onboarding</v>
      </c>
      <c r="L421" s="2" t="str">
        <f>VLOOKUP(demandas[[#This Row],[StatusID]],status!A:B,2,)</f>
        <v>Aberto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E0074-6D49-4786-A6DA-5DB668909610}">
  <sheetPr codeName="Planilha2"/>
  <dimension ref="A1:C9"/>
  <sheetViews>
    <sheetView workbookViewId="0">
      <selection activeCell="C1" sqref="A1:C1"/>
    </sheetView>
  </sheetViews>
  <sheetFormatPr defaultRowHeight="15" x14ac:dyDescent="0.25"/>
  <cols>
    <col min="1" max="1" width="10.5703125" bestFit="1" customWidth="1"/>
    <col min="2" max="2" width="19.42578125" bestFit="1" customWidth="1"/>
    <col min="3" max="3" width="25.28515625" bestFit="1" customWidth="1"/>
  </cols>
  <sheetData>
    <row r="1" spans="1:3" x14ac:dyDescent="0.25">
      <c r="A1" s="3" t="s">
        <v>2</v>
      </c>
      <c r="B1" t="s">
        <v>430</v>
      </c>
      <c r="C1" t="s">
        <v>431</v>
      </c>
    </row>
    <row r="2" spans="1:3" x14ac:dyDescent="0.25">
      <c r="A2">
        <v>1</v>
      </c>
      <c r="B2" s="1" t="s">
        <v>432</v>
      </c>
      <c r="C2" s="1" t="s">
        <v>433</v>
      </c>
    </row>
    <row r="3" spans="1:3" x14ac:dyDescent="0.25">
      <c r="A3">
        <v>2</v>
      </c>
      <c r="B3" s="1" t="s">
        <v>434</v>
      </c>
      <c r="C3" s="5" t="s">
        <v>433</v>
      </c>
    </row>
    <row r="4" spans="1:3" x14ac:dyDescent="0.25">
      <c r="A4">
        <v>3</v>
      </c>
      <c r="B4" s="1" t="s">
        <v>435</v>
      </c>
      <c r="C4" s="1" t="s">
        <v>436</v>
      </c>
    </row>
    <row r="5" spans="1:3" x14ac:dyDescent="0.25">
      <c r="A5">
        <v>4</v>
      </c>
      <c r="B5" s="1" t="s">
        <v>437</v>
      </c>
      <c r="C5" s="1" t="s">
        <v>438</v>
      </c>
    </row>
    <row r="6" spans="1:3" x14ac:dyDescent="0.25">
      <c r="A6">
        <v>5</v>
      </c>
      <c r="B6" s="1" t="s">
        <v>439</v>
      </c>
      <c r="C6" s="5" t="s">
        <v>440</v>
      </c>
    </row>
    <row r="7" spans="1:3" x14ac:dyDescent="0.25">
      <c r="A7">
        <v>6</v>
      </c>
      <c r="B7" s="1" t="s">
        <v>441</v>
      </c>
      <c r="C7" s="1" t="s">
        <v>438</v>
      </c>
    </row>
    <row r="8" spans="1:3" x14ac:dyDescent="0.25">
      <c r="A8">
        <v>7</v>
      </c>
      <c r="B8" s="1" t="s">
        <v>442</v>
      </c>
      <c r="C8" s="1" t="s">
        <v>436</v>
      </c>
    </row>
    <row r="9" spans="1:3" x14ac:dyDescent="0.25">
      <c r="A9">
        <v>8</v>
      </c>
      <c r="B9" s="1" t="s">
        <v>443</v>
      </c>
      <c r="C9" s="1" t="s">
        <v>438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4F776-F640-4F1B-9B82-A84DFF24C649}">
  <sheetPr codeName="Planilha3"/>
  <dimension ref="A1:B6"/>
  <sheetViews>
    <sheetView workbookViewId="0"/>
  </sheetViews>
  <sheetFormatPr defaultRowHeight="15" x14ac:dyDescent="0.25"/>
  <cols>
    <col min="1" max="1" width="10.5703125" bestFit="1" customWidth="1"/>
    <col min="2" max="2" width="14.7109375" bestFit="1" customWidth="1"/>
  </cols>
  <sheetData>
    <row r="1" spans="1:2" x14ac:dyDescent="0.25">
      <c r="A1" t="s">
        <v>3</v>
      </c>
      <c r="B1" t="s">
        <v>444</v>
      </c>
    </row>
    <row r="2" spans="1:2" x14ac:dyDescent="0.25">
      <c r="A2">
        <v>1</v>
      </c>
      <c r="B2" s="1" t="s">
        <v>445</v>
      </c>
    </row>
    <row r="3" spans="1:2" x14ac:dyDescent="0.25">
      <c r="A3">
        <v>2</v>
      </c>
      <c r="B3" s="1" t="s">
        <v>446</v>
      </c>
    </row>
    <row r="4" spans="1:2" x14ac:dyDescent="0.25">
      <c r="A4">
        <v>3</v>
      </c>
      <c r="B4" s="1" t="s">
        <v>447</v>
      </c>
    </row>
    <row r="5" spans="1:2" x14ac:dyDescent="0.25">
      <c r="A5">
        <v>4</v>
      </c>
      <c r="B5" s="1" t="s">
        <v>448</v>
      </c>
    </row>
    <row r="6" spans="1:2" x14ac:dyDescent="0.25">
      <c r="A6">
        <v>5</v>
      </c>
      <c r="B6" s="1" t="s">
        <v>449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6FACE3-0B30-4FD7-AAA2-E4C5B50F9F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demandas</vt:lpstr>
      <vt:lpstr>squads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Gomes</dc:creator>
  <cp:lastModifiedBy>Patricia Gomes</cp:lastModifiedBy>
  <dcterms:created xsi:type="dcterms:W3CDTF">2026-07-06T00:26:53Z</dcterms:created>
  <dcterms:modified xsi:type="dcterms:W3CDTF">2026-07-06T00:58:00Z</dcterms:modified>
</cp:coreProperties>
</file>